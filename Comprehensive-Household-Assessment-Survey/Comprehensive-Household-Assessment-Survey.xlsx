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240" yWindow="20" windowWidth="16100" windowHeight="9660" activeTab="2"/>
  </bookViews>
  <sheets>
    <sheet name="dataset" sheetId="1" r:id="rId1"/>
    <sheet name="Sheet1" sheetId="4" r:id="rId2"/>
    <sheet name="data_cleaning" sheetId="3" r:id="rId3"/>
  </sheet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N24" i="3" l="1"/>
  <c r="N7" i="3"/>
  <c r="N8" i="3"/>
  <c r="N10" i="3"/>
  <c r="N17" i="3"/>
  <c r="N22" i="3"/>
  <c r="N29" i="3"/>
  <c r="N31" i="3"/>
  <c r="N38" i="3"/>
  <c r="N41" i="3"/>
  <c r="N3" i="3"/>
  <c r="N4" i="3"/>
  <c r="N5" i="3"/>
  <c r="N6" i="3"/>
  <c r="N9" i="3"/>
  <c r="N11" i="3"/>
  <c r="N12" i="3"/>
  <c r="N13" i="3"/>
  <c r="N14" i="3"/>
  <c r="N15" i="3"/>
  <c r="N16" i="3"/>
  <c r="N18" i="3"/>
  <c r="N19" i="3"/>
  <c r="N20" i="3"/>
  <c r="N21" i="3"/>
  <c r="N23" i="3"/>
  <c r="N25" i="3"/>
  <c r="N26" i="3"/>
  <c r="N27" i="3"/>
  <c r="N28" i="3"/>
  <c r="N30" i="3"/>
  <c r="N32" i="3"/>
  <c r="N33" i="3"/>
  <c r="N34" i="3"/>
  <c r="N35" i="3"/>
  <c r="N36" i="3"/>
  <c r="N37" i="3"/>
  <c r="N39" i="3"/>
  <c r="N40" i="3"/>
  <c r="N42" i="3"/>
  <c r="N43" i="3"/>
</calcChain>
</file>

<file path=xl/sharedStrings.xml><?xml version="1.0" encoding="utf-8"?>
<sst xmlns="http://schemas.openxmlformats.org/spreadsheetml/2006/main" count="1515" uniqueCount="315">
  <si>
    <t>start</t>
  </si>
  <si>
    <t>end</t>
  </si>
  <si>
    <t>اسم جامع البيانات ؟</t>
  </si>
  <si>
    <t xml:space="preserve">تاريخ جمع الاستبيان </t>
  </si>
  <si>
    <t xml:space="preserve">المحافظة </t>
  </si>
  <si>
    <t xml:space="preserve">المنطقة </t>
  </si>
  <si>
    <t>هل توافق على اجراء هذا الاستبيان ؟</t>
  </si>
  <si>
    <t xml:space="preserve">الاسم الثلاثي لرب الاسرة </t>
  </si>
  <si>
    <t xml:space="preserve">جنس معيل الاسرة </t>
  </si>
  <si>
    <t xml:space="preserve">عمر معيل الاسرة </t>
  </si>
  <si>
    <t xml:space="preserve">نوع الوثيقة </t>
  </si>
  <si>
    <t xml:space="preserve">غير ذلك </t>
  </si>
  <si>
    <t xml:space="preserve">رقم الوثيقة </t>
  </si>
  <si>
    <t xml:space="preserve">عدد افراد الاسرة </t>
  </si>
  <si>
    <t xml:space="preserve">عدد الاناث تحت سنتين </t>
  </si>
  <si>
    <t xml:space="preserve">عدد الذكور تحت سنتين </t>
  </si>
  <si>
    <t xml:space="preserve">اناث من 2 الى 18 </t>
  </si>
  <si>
    <t xml:space="preserve">ذكورمن 2 الى 18 </t>
  </si>
  <si>
    <t>اناث من 19 الى 59</t>
  </si>
  <si>
    <t>ذكور من 19 الى 59</t>
  </si>
  <si>
    <t xml:space="preserve">اناث من 60 فما فوق </t>
  </si>
  <si>
    <t xml:space="preserve">ذكورمن 60 فما فوق </t>
  </si>
  <si>
    <t xml:space="preserve">تاريخ نزوح اسرتك </t>
  </si>
  <si>
    <t xml:space="preserve">حدد مكان وصولك عند النزوح </t>
  </si>
  <si>
    <t xml:space="preserve">ما هو نوع المسكن </t>
  </si>
  <si>
    <t xml:space="preserve">ملاحظات عن جمع البيانات </t>
  </si>
  <si>
    <t xml:space="preserve">حدد مكان جمع البيانات </t>
  </si>
  <si>
    <t>_حدد مكان جمع البيانات _latitude</t>
  </si>
  <si>
    <t>_حدد مكان جمع البيانات _longitude</t>
  </si>
  <si>
    <t>_حدد مكان جمع البيانات _altitude</t>
  </si>
  <si>
    <t>_حدد مكان جمع البيانات _precision</t>
  </si>
  <si>
    <t>غير ذلك حدد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</si>
  <si>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</si>
  <si>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</si>
  <si>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</si>
  <si>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</si>
  <si>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</si>
  <si>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</si>
  <si>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</si>
  <si>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</si>
  <si>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</si>
  <si>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</si>
  <si>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</si>
  <si>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 xml:space="preserve">حسن الحسن </t>
  </si>
  <si>
    <t xml:space="preserve">الدمازين </t>
  </si>
  <si>
    <t xml:space="preserve">اركويت  </t>
  </si>
  <si>
    <t>نعم</t>
  </si>
  <si>
    <t xml:space="preserve">علي محمد احمد </t>
  </si>
  <si>
    <t>ذكر</t>
  </si>
  <si>
    <t>45</t>
  </si>
  <si>
    <t xml:space="preserve">عقد زواج </t>
  </si>
  <si>
    <t>12345</t>
  </si>
  <si>
    <t>مخيم</t>
  </si>
  <si>
    <t xml:space="preserve">مبنى غير مكتمل </t>
  </si>
  <si>
    <t xml:space="preserve">لا يوجد </t>
  </si>
  <si>
    <t>3c085610-795e-4c86-b746-bae00b8831ce</t>
  </si>
  <si>
    <t>submitted_via_web</t>
  </si>
  <si>
    <t>saifeldein811</t>
  </si>
  <si>
    <t>va233myFGgDYnMJ5K2mWNL</t>
  </si>
  <si>
    <t>uuid:3c085610-795e-4c86-b746-bae00b8831ce</t>
  </si>
  <si>
    <t xml:space="preserve">ادم علي محمد </t>
  </si>
  <si>
    <t>30</t>
  </si>
  <si>
    <t xml:space="preserve">دفتر عائلة </t>
  </si>
  <si>
    <t>56805</t>
  </si>
  <si>
    <t xml:space="preserve">خيم </t>
  </si>
  <si>
    <t>لا يوجد</t>
  </si>
  <si>
    <t>d40173d0-884f-4c5e-a11f-3079311b9711</t>
  </si>
  <si>
    <t>uuid:d40173d0-884f-4c5e-a11f-3079311b9711</t>
  </si>
  <si>
    <t>النصر شرق</t>
  </si>
  <si>
    <t xml:space="preserve">خليفة الطاهر احمد </t>
  </si>
  <si>
    <t>68</t>
  </si>
  <si>
    <t xml:space="preserve">هوية </t>
  </si>
  <si>
    <t>69854</t>
  </si>
  <si>
    <t xml:space="preserve">خيم في مدينة او قرية </t>
  </si>
  <si>
    <t xml:space="preserve">مبنى كامل </t>
  </si>
  <si>
    <t>e9e6baaf-9f86-4194-9428-0ab6d7d427eb</t>
  </si>
  <si>
    <t>uuid:e9e6baaf-9f86-4194-9428-0ab6d7d427eb</t>
  </si>
  <si>
    <t xml:space="preserve">حسن  الحسن </t>
  </si>
  <si>
    <t>الروصيرص</t>
  </si>
  <si>
    <t>قيسان</t>
  </si>
  <si>
    <t xml:space="preserve">على عبدالله حسن </t>
  </si>
  <si>
    <t>80</t>
  </si>
  <si>
    <t>74125</t>
  </si>
  <si>
    <t>مدينة</t>
  </si>
  <si>
    <t>686b842e-3701-4867-a654-6a36b288840a</t>
  </si>
  <si>
    <t>uuid:686b842e-3701-4867-a654-6a36b288840a</t>
  </si>
  <si>
    <t>قنيص</t>
  </si>
  <si>
    <t xml:space="preserve">نصرالدين يحى سعد </t>
  </si>
  <si>
    <t>35</t>
  </si>
  <si>
    <t xml:space="preserve">جواز سفر </t>
  </si>
  <si>
    <t>69853</t>
  </si>
  <si>
    <t>0ef90770-0480-45e9-8b27-c9944e7be257</t>
  </si>
  <si>
    <t>uuid:0ef90770-0480-45e9-8b27-c9944e7be257</t>
  </si>
  <si>
    <t xml:space="preserve">الربيع </t>
  </si>
  <si>
    <t>لا</t>
  </si>
  <si>
    <t>32222267-976b-4a18-884c-57eb5d28fc31</t>
  </si>
  <si>
    <t>uuid:32222267-976b-4a18-884c-57eb5d28fc31</t>
  </si>
  <si>
    <t xml:space="preserve">زاهر على </t>
  </si>
  <si>
    <t>الشرقي</t>
  </si>
  <si>
    <t>فائز محمد احمد</t>
  </si>
  <si>
    <t>40</t>
  </si>
  <si>
    <t xml:space="preserve">جواز السفر </t>
  </si>
  <si>
    <t>25802</t>
  </si>
  <si>
    <t>قرية</t>
  </si>
  <si>
    <t>da9e486d-339b-4f89-90cf-28ff51cfdec9</t>
  </si>
  <si>
    <t>uuid:da9e486d-339b-4f89-90cf-28ff51cfdec9</t>
  </si>
  <si>
    <t xml:space="preserve">زاهر علي </t>
  </si>
  <si>
    <t xml:space="preserve">عيسى عبيد محمد </t>
  </si>
  <si>
    <t>14780</t>
  </si>
  <si>
    <t>7fbed815-9e28-4ca3-a52f-a0446c61b5f2</t>
  </si>
  <si>
    <t>uuid:7fbed815-9e28-4ca3-a52f-a0446c61b5f2</t>
  </si>
  <si>
    <t xml:space="preserve">سوبا </t>
  </si>
  <si>
    <t xml:space="preserve">محمد ادم عبدالله </t>
  </si>
  <si>
    <t>29</t>
  </si>
  <si>
    <t>36587</t>
  </si>
  <si>
    <t>fb319763-0011-481b-ae2d-f036f6e66f72</t>
  </si>
  <si>
    <t>uuid:fb319763-0011-481b-ae2d-f036f6e66f72</t>
  </si>
  <si>
    <t>الجنوبي</t>
  </si>
  <si>
    <t xml:space="preserve">فياض محمد يعقوب </t>
  </si>
  <si>
    <t>26</t>
  </si>
  <si>
    <t>5869eab2-584d-4583-b6a0-2c77566722da</t>
  </si>
  <si>
    <t>uuid:5869eab2-584d-4583-b6a0-2c77566722da</t>
  </si>
  <si>
    <t xml:space="preserve">النهضة </t>
  </si>
  <si>
    <t>كمال الدين طارق كمال</t>
  </si>
  <si>
    <t>31</t>
  </si>
  <si>
    <t>36980</t>
  </si>
  <si>
    <t>7469155c-a39f-4583-9cbc-d53ee342a479</t>
  </si>
  <si>
    <t>uuid:7469155c-a39f-4583-9cbc-d53ee342a479</t>
  </si>
  <si>
    <t>الغربي</t>
  </si>
  <si>
    <t>الصادق حسن عبدالرحمن</t>
  </si>
  <si>
    <t>08569</t>
  </si>
  <si>
    <t>25de1022-1890-44be-8e2a-23efa1f43dac</t>
  </si>
  <si>
    <t>uuid:25de1022-1890-44be-8e2a-23efa1f43dac</t>
  </si>
  <si>
    <t xml:space="preserve">زاهر    علي </t>
  </si>
  <si>
    <t>عروسة</t>
  </si>
  <si>
    <t xml:space="preserve">النور سليمان محمد </t>
  </si>
  <si>
    <t>45678</t>
  </si>
  <si>
    <t>25f719c9-73d8-40d7-876b-426afb2976e0</t>
  </si>
  <si>
    <t>uuid:25f719c9-73d8-40d7-876b-426afb2976e0</t>
  </si>
  <si>
    <t>907aae59-5eab-4a14-9614-48ee4617648b</t>
  </si>
  <si>
    <t>uuid:907aae59-5eab-4a14-9614-48ee4617648b</t>
  </si>
  <si>
    <t xml:space="preserve">خالد الكامل </t>
  </si>
  <si>
    <t xml:space="preserve">النصر غرب </t>
  </si>
  <si>
    <t>صلاح عبدالقادر محمد</t>
  </si>
  <si>
    <t>58</t>
  </si>
  <si>
    <t>08523</t>
  </si>
  <si>
    <t>b46227a9-301a-4abe-9ec2-0d5fed48ba73</t>
  </si>
  <si>
    <t>uuid:b46227a9-301a-4abe-9ec2-0d5fed48ba73</t>
  </si>
  <si>
    <t xml:space="preserve">خالد  الكامل </t>
  </si>
  <si>
    <t xml:space="preserve">المزاد </t>
  </si>
  <si>
    <t xml:space="preserve">احمد محمد جمال </t>
  </si>
  <si>
    <t>36</t>
  </si>
  <si>
    <t>48095</t>
  </si>
  <si>
    <t>dee0ba5b-85d4-4b03-992f-809d10110bd3</t>
  </si>
  <si>
    <t>uuid:dee0ba5b-85d4-4b03-992f-809d10110bd3</t>
  </si>
  <si>
    <t xml:space="preserve">خالد. الكامل </t>
  </si>
  <si>
    <t xml:space="preserve">سامية محمد نور </t>
  </si>
  <si>
    <t>انثى</t>
  </si>
  <si>
    <t>41207</t>
  </si>
  <si>
    <t>9255027a-ab75-4957-8b00-fd7df4fd818c</t>
  </si>
  <si>
    <t>uuid:9255027a-ab75-4957-8b00-fd7df4fd818c</t>
  </si>
  <si>
    <t>المطار</t>
  </si>
  <si>
    <t xml:space="preserve">حواء يحى ادم </t>
  </si>
  <si>
    <t>47921</t>
  </si>
  <si>
    <t>2f04bc47-911f-4023-956e-2918945b2ee5</t>
  </si>
  <si>
    <t>uuid:2f04bc47-911f-4023-956e-2918945b2ee5</t>
  </si>
  <si>
    <t xml:space="preserve">خديجة بخيت علي </t>
  </si>
  <si>
    <t>73861</t>
  </si>
  <si>
    <t>555d40de-b1eb-49d2-af57-f5e99e5c631e</t>
  </si>
  <si>
    <t>uuid:555d40de-b1eb-49d2-af57-f5e99e5c631e</t>
  </si>
  <si>
    <t xml:space="preserve">جميل العابد </t>
  </si>
  <si>
    <t>يحى مختار عيسى</t>
  </si>
  <si>
    <t>60</t>
  </si>
  <si>
    <t>05874</t>
  </si>
  <si>
    <t xml:space="preserve">لا يوجد. </t>
  </si>
  <si>
    <t>76aa2e2f-cca1-4139-829e-a55c64e32ebf</t>
  </si>
  <si>
    <t>uuid:76aa2e2f-cca1-4139-829e-a55c64e32ebf</t>
  </si>
  <si>
    <t xml:space="preserve">ادم خليفة سعد </t>
  </si>
  <si>
    <t>28</t>
  </si>
  <si>
    <t>97854</t>
  </si>
  <si>
    <t>73bba291-d8bc-47e0-a968-046741116391</t>
  </si>
  <si>
    <t>uuid:73bba291-d8bc-47e0-a968-046741116391</t>
  </si>
  <si>
    <t xml:space="preserve">عمر عيسى محمد </t>
  </si>
  <si>
    <t>48</t>
  </si>
  <si>
    <t>43018</t>
  </si>
  <si>
    <t>cfacfd3a-c778-4aa7-8dae-82e490ff6b23</t>
  </si>
  <si>
    <t>uuid:cfacfd3a-c778-4aa7-8dae-82e490ff6b23</t>
  </si>
  <si>
    <t xml:space="preserve">ابشر محمد جمال </t>
  </si>
  <si>
    <t>631c25bb-2613-4655-8875-66b6ce456a67</t>
  </si>
  <si>
    <t>uuid:631c25bb-2613-4655-8875-66b6ce456a67</t>
  </si>
  <si>
    <t xml:space="preserve">صلاح الدين الماحي محمد ادم </t>
  </si>
  <si>
    <t>9</t>
  </si>
  <si>
    <t>58026</t>
  </si>
  <si>
    <t>cc463584-791c-4b57-9738-63f9aa8232a9</t>
  </si>
  <si>
    <t>uuid:cc463584-791c-4b57-9738-63f9aa8232a9</t>
  </si>
  <si>
    <t xml:space="preserve">جميل  العابد </t>
  </si>
  <si>
    <t>منصور السالمي احمد</t>
  </si>
  <si>
    <t>36914</t>
  </si>
  <si>
    <t>e8f4e011-2314-4a34-846a-2338040e501f</t>
  </si>
  <si>
    <t>uuid:e8f4e011-2314-4a34-846a-2338040e501f</t>
  </si>
  <si>
    <t xml:space="preserve">بابكر لقمان احمد </t>
  </si>
  <si>
    <t>08529</t>
  </si>
  <si>
    <t>fb063ead-3ffb-40d1-a2c3-c260a891a88e</t>
  </si>
  <si>
    <t>uuid:fb063ead-3ffb-40d1-a2c3-c260a891a88e</t>
  </si>
  <si>
    <t>8a9f13f1-8658-47a5-b205-77d360c86ce1</t>
  </si>
  <si>
    <t>uuid:8a9f13f1-8658-47a5-b205-77d360c86ce1</t>
  </si>
  <si>
    <t xml:space="preserve">ابراهيم يعقوب موسى </t>
  </si>
  <si>
    <t>25</t>
  </si>
  <si>
    <t>56478</t>
  </si>
  <si>
    <t>4741c299-a3e0-4e75-a485-b69c7eebba2c</t>
  </si>
  <si>
    <t>uuid:4741c299-a3e0-4e75-a485-b69c7eebba2c</t>
  </si>
  <si>
    <t xml:space="preserve">احمد العلي </t>
  </si>
  <si>
    <t xml:space="preserve">ابو عبدالقادر عثمان </t>
  </si>
  <si>
    <t>55250</t>
  </si>
  <si>
    <t>e4ca72bc-0d21-4dfb-9996-ea019959ab79</t>
  </si>
  <si>
    <t>uuid:e4ca72bc-0d21-4dfb-9996-ea019959ab79</t>
  </si>
  <si>
    <t xml:space="preserve">على كرتي احمد </t>
  </si>
  <si>
    <t>50</t>
  </si>
  <si>
    <t>40321</t>
  </si>
  <si>
    <t>d51a2c83-0857-40db-bd83-0ce653b8e1fa</t>
  </si>
  <si>
    <t>uuid:d51a2c83-0857-40db-bd83-0ce653b8e1fa</t>
  </si>
  <si>
    <t xml:space="preserve">احمد.  العلي </t>
  </si>
  <si>
    <t xml:space="preserve"> بانت </t>
  </si>
  <si>
    <t xml:space="preserve">ياسر محمد صالح </t>
  </si>
  <si>
    <t>03698</t>
  </si>
  <si>
    <t>1b60dee9-0656-4c7f-90ce-3abaa8f6cf17</t>
  </si>
  <si>
    <t>uuid:1b60dee9-0656-4c7f-90ce-3abaa8f6cf17</t>
  </si>
  <si>
    <t xml:space="preserve">دينار احمد علي </t>
  </si>
  <si>
    <t>14280</t>
  </si>
  <si>
    <t>0ea93016-403b-4377-8686-794e7bf00818</t>
  </si>
  <si>
    <t>uuid:0ea93016-403b-4377-8686-794e7bf00818</t>
  </si>
  <si>
    <t xml:space="preserve">محمد علي </t>
  </si>
  <si>
    <t xml:space="preserve">دينار على ادم </t>
  </si>
  <si>
    <t xml:space="preserve">نازح جديد </t>
  </si>
  <si>
    <t>950bd5ca-e1b8-4e41-bd0c-dcd75c59e8ef</t>
  </si>
  <si>
    <t>uuid:950bd5ca-e1b8-4e41-bd0c-dcd75c59e8ef</t>
  </si>
  <si>
    <t>محمد علي</t>
  </si>
  <si>
    <t xml:space="preserve">عيسى خليفة محمد </t>
  </si>
  <si>
    <t>08338a82-f1b0-48cc-bb8e-3914e014afee</t>
  </si>
  <si>
    <t>uuid:08338a82-f1b0-48cc-bb8e-3914e014afee</t>
  </si>
  <si>
    <t>29430</t>
  </si>
  <si>
    <t>adca0aa4-16b4-46fe-bf99-c02300311454</t>
  </si>
  <si>
    <t>uuid:adca0aa4-16b4-46fe-bf99-c02300311454</t>
  </si>
  <si>
    <t>40285</t>
  </si>
  <si>
    <t>8176ad8c-f1db-4869-9b99-9417820ed59c</t>
  </si>
  <si>
    <t>uuid:8176ad8c-f1db-4869-9b99-9417820ed59c</t>
  </si>
  <si>
    <t xml:space="preserve">متولى عبداللطيف جميل </t>
  </si>
  <si>
    <t>26958</t>
  </si>
  <si>
    <t>7d132545-7e8f-47dd-b29f-f5b827794f5e</t>
  </si>
  <si>
    <t>uuid:7d132545-7e8f-47dd-b29f-f5b827794f5e</t>
  </si>
  <si>
    <t>هاني رمزي</t>
  </si>
  <si>
    <t>مختار هارون عيسى</t>
  </si>
  <si>
    <t>8</t>
  </si>
  <si>
    <t>64925</t>
  </si>
  <si>
    <t>52111e52-ac90-431a-94c0-83399b0eb30f</t>
  </si>
  <si>
    <t>uuid:52111e52-ac90-431a-94c0-83399b0eb30f</t>
  </si>
  <si>
    <t xml:space="preserve">هاني رمزي </t>
  </si>
  <si>
    <t xml:space="preserve">سيد أحمد بخيت </t>
  </si>
  <si>
    <t>74325</t>
  </si>
  <si>
    <t>3ee1034e-f1dd-4c94-98d5-d7ad4bbbe1b3</t>
  </si>
  <si>
    <t>uuid:3ee1034e-f1dd-4c94-98d5-d7ad4bbbe1b3</t>
  </si>
  <si>
    <t xml:space="preserve">بشير حمد مقبول </t>
  </si>
  <si>
    <t>69</t>
  </si>
  <si>
    <t>29105</t>
  </si>
  <si>
    <t>49bd0b8b-ac0a-4057-97ff-210f32664687</t>
  </si>
  <si>
    <t>uuid:49bd0b8b-ac0a-4057-97ff-210f32664687</t>
  </si>
  <si>
    <t xml:space="preserve">بكري السيد عبدالقادر </t>
  </si>
  <si>
    <t>70</t>
  </si>
  <si>
    <t>47580</t>
  </si>
  <si>
    <t>e563e399-a5d2-4844-9767-490cb491094a</t>
  </si>
  <si>
    <t>uuid:e563e399-a5d2-4844-9767-490cb491094a</t>
  </si>
  <si>
    <t xml:space="preserve">نصر الدين احمد محمد </t>
  </si>
  <si>
    <t>36521</t>
  </si>
  <si>
    <t>5e6b2574-0cc8-4dcd-a43c-edc1c67d9f73</t>
  </si>
  <si>
    <t>uuid:5e6b2574-0cc8-4dcd-a43c-edc1c67d9f73</t>
  </si>
  <si>
    <t xml:space="preserve">خليفة حمد النيل </t>
  </si>
  <si>
    <t>06402</t>
  </si>
  <si>
    <t>b22ae36f-6cf3-4011-b84b-1fc311fe34c7</t>
  </si>
  <si>
    <t>uuid:b22ae36f-6cf3-4011-b84b-1fc311fe34c7</t>
  </si>
  <si>
    <t xml:space="preserve">هدى الحسين </t>
  </si>
  <si>
    <t>25364</t>
  </si>
  <si>
    <t>c3d66b57-fbdf-41cd-8442-892f8ca48fee</t>
  </si>
  <si>
    <t>uuid:c3d66b57-fbdf-41cd-8442-892f8ca48fee</t>
  </si>
  <si>
    <t xml:space="preserve">عبدالله عبدالرحمن شمس الدين </t>
  </si>
  <si>
    <t>25698</t>
  </si>
  <si>
    <t>69ac8ffb-5cf9-433a-8579-91bfec9b2b42</t>
  </si>
  <si>
    <t>uuid:69ac8ffb-5cf9-433a-8579-91bfec9b2b42</t>
  </si>
  <si>
    <t>e6bb1c62-69b2-439a-8804-299bb74e2018</t>
  </si>
  <si>
    <t>uuid:e6bb1c62-69b2-439a-8804-299bb74e2018</t>
  </si>
  <si>
    <t xml:space="preserve">خليل جبران خليل </t>
  </si>
  <si>
    <t>46028</t>
  </si>
  <si>
    <t>6035dcae-8da4-49e4-be01-1d39b12a0d61</t>
  </si>
  <si>
    <t>uuid:6035dcae-8da4-49e4-be01-1d39b12a0d61</t>
  </si>
  <si>
    <t xml:space="preserve">حسناء حمد النيل </t>
  </si>
  <si>
    <t>25690</t>
  </si>
  <si>
    <t>b0ab2f62-042b-4dd2-a2c4-a7580853c0ee</t>
  </si>
  <si>
    <t>uuid:b0ab2f62-042b-4dd2-a2c4-a7580853c0ee</t>
  </si>
  <si>
    <t>غير ذلك 3</t>
  </si>
  <si>
    <t>الاسم الثلاثي لرب الاسرة 4</t>
  </si>
  <si>
    <t>الاسم الثلاثي لرب الاسرة 5</t>
  </si>
  <si>
    <t>عمر معيل الاسرة 6</t>
  </si>
  <si>
    <t>حسن الحسن</t>
  </si>
  <si>
    <t>زاهر علي</t>
  </si>
  <si>
    <t>خالد الكامل</t>
  </si>
  <si>
    <t>جميل العابد</t>
  </si>
  <si>
    <t>احمد العلي</t>
  </si>
  <si>
    <t>هدى الحسين</t>
  </si>
  <si>
    <t xml:space="preserve"> </t>
  </si>
  <si>
    <t>Column3</t>
  </si>
  <si>
    <t>خيم</t>
  </si>
  <si>
    <t>المنطقة</t>
  </si>
  <si>
    <t xml:space="preserve">معلومات عن جامع البيانات </t>
  </si>
  <si>
    <r>
      <rPr>
        <sz val="20"/>
        <color theme="1"/>
        <rFont val="Calibri"/>
        <family val="2"/>
        <scheme val="minor"/>
      </rPr>
      <t>معلومات عن معيل الأسرة</t>
    </r>
    <r>
      <rPr>
        <sz val="11"/>
        <color theme="1"/>
        <rFont val="Calibri"/>
        <family val="2"/>
        <scheme val="minor"/>
      </rPr>
      <t xml:space="preserve"> </t>
    </r>
  </si>
  <si>
    <t xml:space="preserve">التركيبة الاسرية </t>
  </si>
  <si>
    <t xml:space="preserve">معلومات عن العوائل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</si>
</sst>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 applyAlignment="1">
      <alignment readingOrder="1"/>
    </xf>
    <xf numFmtId="0" fontId="0" fillId="0" borderId="0" xfId="0" applyNumberFormat="1" applyAlignment="1">
      <alignment readingOrder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64" formatCode="yyyy\-mm\-dd"/>
    </dxf>
    <dxf>
      <numFmt numFmtId="164" formatCode="yyyy\-mm\-dd"/>
    </dxf>
    <dxf>
      <alignment horizontal="general" vertical="bottom" textRotation="0" wrapText="0" indent="0" justifyLastLine="0" shrinkToFit="0" readingOrder="1"/>
    </dxf>
    <dxf>
      <numFmt numFmtId="0" formatCode="General"/>
    </dxf>
    <dxf>
      <numFmt numFmtId="164" formatCode="yyyy\-mm\-dd"/>
    </dxf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18.416705555559" createdVersion="6" refreshedVersion="6" minRefreshableVersion="3" recordCount="41">
  <cacheSource type="worksheet">
    <worksheetSource name="Table1"/>
  </cacheSource>
  <cacheFields count="48">
    <cacheField name="start" numFmtId="164">
      <sharedItems containsSemiMixedTypes="0" containsNonDate="0" containsDate="1" containsString="0" minDate="2026-07-09T20:30:06" maxDate="2026-07-10T22:24:17"/>
    </cacheField>
    <cacheField name="end" numFmtId="164">
      <sharedItems containsSemiMixedTypes="0" containsNonDate="0" containsDate="1" containsString="0" minDate="2026-07-09T20:31:53" maxDate="2026-07-10T22:25:12"/>
    </cacheField>
    <cacheField name="اسم جامع البيانات ؟" numFmtId="0">
      <sharedItems count="10">
        <s v="حسن الحسن"/>
        <s v="زاهر على"/>
        <s v="زاهر علي"/>
        <s v="خالد الكامل"/>
        <s v="خالد. الكامل"/>
        <s v="جميل العابد"/>
        <s v="احمد العلي"/>
        <s v="محمد علي"/>
        <s v="هاني رمزي"/>
        <s v="هدى الحسين"/>
      </sharedItems>
    </cacheField>
    <cacheField name="تاريخ جمع الاستبيان " numFmtId="164">
      <sharedItems containsSemiMixedTypes="0" containsNonDate="0" containsDate="1" containsString="0" minDate="2026-07-09T00:00:00" maxDate="2026-07-11T00:00:00"/>
    </cacheField>
    <cacheField name="Column2" numFmtId="164">
      <sharedItems containsNonDate="0" containsString="0" containsBlank="1"/>
    </cacheField>
    <cacheField name="المحافظة " numFmtId="0">
      <sharedItems count="2">
        <s v="الدمازين "/>
        <s v="الروصيرص"/>
      </sharedItems>
    </cacheField>
    <cacheField name="Column1" numFmtId="0">
      <sharedItems/>
    </cacheField>
    <cacheField name="هل توافق على اجراء هذا الاستبيان ؟" numFmtId="0">
      <sharedItems/>
    </cacheField>
    <cacheField name="الاسم الثلاثي لرب الاسرة " numFmtId="0">
      <sharedItems/>
    </cacheField>
    <cacheField name="جنس معيل الاسرة " numFmtId="0">
      <sharedItems/>
    </cacheField>
    <cacheField name="عمر معيل الاسرة " numFmtId="0">
      <sharedItems containsSemiMixedTypes="0" containsString="0" containsNumber="1" containsInteger="1" minValue="8" maxValue="80"/>
    </cacheField>
    <cacheField name="نوع الوثيقة " numFmtId="0">
      <sharedItems/>
    </cacheField>
    <cacheField name="غير ذلك " numFmtId="0">
      <sharedItems containsBlank="1"/>
    </cacheField>
    <cacheField name="رقم الوثيقة " numFmtId="0">
      <sharedItems containsSemiMixedTypes="0" containsString="0" containsNumber="1" containsInteger="1" minValue="5874" maxValue="97854"/>
    </cacheField>
    <cacheField name="عدد افراد الاسرة " numFmtId="0">
      <sharedItems containsSemiMixedTypes="0" containsString="0" containsNumber="1" containsInteger="1" minValue="4" maxValue="12"/>
    </cacheField>
    <cacheField name="عدد الاناث تحت سنتين " numFmtId="0">
      <sharedItems containsSemiMixedTypes="0" containsString="0" containsNumber="1" containsInteger="1" minValue="0" maxValue="4"/>
    </cacheField>
    <cacheField name="عدد الذكور تحت سنتين " numFmtId="0">
      <sharedItems containsSemiMixedTypes="0" containsString="0" containsNumber="1" containsInteger="1" minValue="0" maxValue="5"/>
    </cacheField>
    <cacheField name="اناث من 2 الى 18 " numFmtId="0">
      <sharedItems containsSemiMixedTypes="0" containsString="0" containsNumber="1" containsInteger="1" minValue="0" maxValue="4"/>
    </cacheField>
    <cacheField name="ذكورمن 2 الى 18 " numFmtId="0">
      <sharedItems containsSemiMixedTypes="0" containsString="0" containsNumber="1" containsInteger="1" minValue="0" maxValue="4"/>
    </cacheField>
    <cacheField name="اناث من 19 الى 59" numFmtId="0">
      <sharedItems containsSemiMixedTypes="0" containsString="0" containsNumber="1" containsInteger="1" minValue="0" maxValue="8"/>
    </cacheField>
    <cacheField name="ذكور من 19 الى 59" numFmtId="0">
      <sharedItems containsSemiMixedTypes="0" containsString="0" containsNumber="1" containsInteger="1" minValue="0" maxValue="2"/>
    </cacheField>
    <cacheField name="اناث من 60 فما فوق " numFmtId="0">
      <sharedItems containsSemiMixedTypes="0" containsString="0" containsNumber="1" containsInteger="1" minValue="0" maxValue="0"/>
    </cacheField>
    <cacheField name="ذكورمن 60 فما فوق " numFmtId="0">
      <sharedItems containsSemiMixedTypes="0" containsString="0" containsNumber="1" containsInteger="1" minValue="0" maxValue="0"/>
    </cacheField>
    <cacheField name="تاريخ نزوح اسرتك " numFmtId="164">
      <sharedItems containsSemiMixedTypes="0" containsNonDate="0" containsDate="1" containsString="0" minDate="2012-07-10T00:00:00" maxDate="2026-07-14T00:00:00"/>
    </cacheField>
    <cacheField name="حدد مكان وصولك عند النزوح " numFmtId="0">
      <sharedItems/>
    </cacheField>
    <cacheField name="ما هو نوع المسكن " numFmtId="0">
      <sharedItems/>
    </cacheField>
    <cacheField name="غير ذلك 3" numFmtId="0">
      <sharedItems containsNonDate="0" containsString="0" containsBlank="1"/>
    </cacheField>
    <cacheField name="ملاحظات عن جمع البيانات " numFmtId="0">
      <sharedItems/>
    </cacheField>
    <cacheField name="حدد مكان جمع البيانات " numFmtId="0">
      <sharedItems containsNonDate="0" containsString="0" containsBlank="1"/>
    </cacheField>
    <cacheField name="_حدد مكان جمع البيانات _latitude" numFmtId="0">
      <sharedItems containsNonDate="0" containsString="0" containsBlank="1"/>
    </cacheField>
    <cacheField name="_حدد مكان جمع البيانات _longitude" numFmtId="0">
      <sharedItems containsNonDate="0" containsString="0" containsBlank="1"/>
    </cacheField>
    <cacheField name="_حدد مكان جمع البيانات _altitude" numFmtId="0">
      <sharedItems containsNonDate="0" containsString="0" containsBlank="1"/>
    </cacheField>
    <cacheField name="_حدد مكان جمع البيانات _precision" numFmtId="0">
      <sharedItems containsNonDate="0" containsString="0" containsBlank="1"/>
    </cacheField>
    <cacheField name="الاسم الثلاثي لرب الاسرة 4" numFmtId="0">
      <sharedItems containsNonDate="0" containsString="0" containsBlank="1"/>
    </cacheField>
    <cacheField name="الاسم الثلاثي لرب الاسرة 5" numFmtId="0">
      <sharedItems containsNonDate="0" containsString="0" containsBlank="1"/>
    </cacheField>
    <cacheField name="عمر معيل الاسرة 6" numFmtId="0">
      <sharedItems containsNonDate="0" containsString="0" containsBlank="1"/>
    </cacheField>
    <cacheField name="غير ذلك حدد" numFmtId="0">
      <sharedItems containsNonDate="0" containsString="0" containsBlank="1"/>
    </cacheField>
    <cacheField name="_id" numFmtId="0">
      <sharedItems containsSemiMixedTypes="0" containsString="0" containsNumber="1" containsInteger="1" minValue="808630840" maxValue="808631089"/>
    </cacheField>
    <cacheField name="_uuid" numFmtId="0">
      <sharedItems/>
    </cacheField>
    <cacheField name="_submission_time" numFmtId="164">
      <sharedItems containsSemiMixedTypes="0" containsNonDate="0" containsDate="1" containsString="0" minDate="2026-07-12T06:59:05" maxDate="2026-07-12T06:59:38"/>
    </cacheField>
    <cacheField name="_validation_status" numFmtId="0">
      <sharedItems containsNonDate="0" containsString="0" containsBlank="1"/>
    </cacheField>
    <cacheField name="_notes" numFmtId="0">
      <sharedItems containsNonDate="0" containsString="0" containsBlank="1"/>
    </cacheField>
    <cacheField name="_status" numFmtId="0">
      <sharedItems/>
    </cacheField>
    <cacheField name="_submitted_by" numFmtId="0">
      <sharedItems/>
    </cacheField>
    <cacheField name="__version__" numFmtId="0">
      <sharedItems/>
    </cacheField>
    <cacheField name="_tags" numFmtId="0">
      <sharedItems containsNonDate="0" containsString="0" containsBlank="1"/>
    </cacheField>
    <cacheField name="meta/rootUuid" numFmtId="0">
      <sharedItems/>
    </cacheField>
    <cacheField name="_index" numFmtId="0">
      <sharedItems containsSemiMixedTypes="0" containsString="0" containsNumber="1" containsInteger="1" minValue="1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">
  <r>
    <d v="2026-07-09T20:30:06"/>
    <d v="2026-07-09T20:31:53"/>
    <x v="0"/>
    <d v="2026-07-09T00:00:00"/>
    <m/>
    <x v="0"/>
    <s v="اركويت  "/>
    <s v="نعم"/>
    <s v="علي محمد احمد "/>
    <s v="ذكر"/>
    <n v="45"/>
    <s v="عقد زواج "/>
    <m/>
    <n v="12345"/>
    <n v="10"/>
    <n v="2"/>
    <n v="2"/>
    <n v="2"/>
    <n v="2"/>
    <n v="1"/>
    <n v="1"/>
    <n v="0"/>
    <n v="0"/>
    <d v="2019-07-09T00:00:00"/>
    <s v="مخيم"/>
    <s v="مبنى غير مكتمل "/>
    <m/>
    <s v="لا يوجد "/>
    <m/>
    <m/>
    <m/>
    <m/>
    <m/>
    <m/>
    <m/>
    <m/>
    <m/>
    <n v="808630840"/>
    <s v="3c085610-795e-4c86-b746-bae00b8831ce"/>
    <d v="2026-07-12T06:59:05"/>
    <m/>
    <m/>
    <s v="submitted_via_web"/>
    <s v="saifeldein811"/>
    <s v="va233myFGgDYnMJ5K2mWNL"/>
    <m/>
    <s v="uuid:3c085610-795e-4c86-b746-bae00b8831ce"/>
    <n v="1"/>
  </r>
  <r>
    <d v="2026-07-09T20:32:12"/>
    <d v="2026-07-09T20:33:53"/>
    <x v="0"/>
    <d v="2026-07-09T00:00:00"/>
    <m/>
    <x v="0"/>
    <s v="اركويت  "/>
    <s v="نعم"/>
    <s v="ادم علي محمد "/>
    <s v="ذكر"/>
    <n v="30"/>
    <s v="دفتر عائلة "/>
    <m/>
    <n v="56805"/>
    <n v="5"/>
    <n v="2"/>
    <n v="0"/>
    <n v="1"/>
    <n v="1"/>
    <n v="1"/>
    <n v="0"/>
    <n v="0"/>
    <n v="0"/>
    <d v="2023-07-09T00:00:00"/>
    <s v="مخيم"/>
    <s v="خيم "/>
    <m/>
    <s v="لا يوجد"/>
    <m/>
    <m/>
    <m/>
    <m/>
    <m/>
    <m/>
    <m/>
    <m/>
    <m/>
    <n v="808630848"/>
    <s v="d40173d0-884f-4c5e-a11f-3079311b9711"/>
    <d v="2026-07-12T06:59:05"/>
    <m/>
    <m/>
    <s v="submitted_via_web"/>
    <s v="saifeldein811"/>
    <s v="va233myFGgDYnMJ5K2mWNL"/>
    <m/>
    <s v="uuid:d40173d0-884f-4c5e-a11f-3079311b9711"/>
    <n v="2"/>
  </r>
  <r>
    <d v="2026-07-09T20:34:02"/>
    <d v="2026-07-09T20:35:30"/>
    <x v="0"/>
    <d v="2026-07-09T00:00:00"/>
    <m/>
    <x v="0"/>
    <s v="النصر شرق"/>
    <s v="نعم"/>
    <s v="خليفة الطاهر احمد "/>
    <s v="ذكر"/>
    <n v="68"/>
    <s v="هوية "/>
    <m/>
    <n v="69854"/>
    <n v="8"/>
    <n v="1"/>
    <n v="1"/>
    <n v="2"/>
    <n v="2"/>
    <n v="1"/>
    <n v="1"/>
    <n v="0"/>
    <n v="0"/>
    <d v="2025-07-09T00:00:00"/>
    <s v="خيم في مدينة او قرية "/>
    <s v="مبنى كامل "/>
    <m/>
    <s v="لا يوجد "/>
    <m/>
    <m/>
    <m/>
    <m/>
    <m/>
    <m/>
    <m/>
    <m/>
    <m/>
    <n v="808630854"/>
    <s v="e9e6baaf-9f86-4194-9428-0ab6d7d427eb"/>
    <d v="2026-07-12T06:59:06"/>
    <m/>
    <m/>
    <s v="submitted_via_web"/>
    <s v="saifeldein811"/>
    <s v="va233myFGgDYnMJ5K2mWNL"/>
    <m/>
    <s v="uuid:e9e6baaf-9f86-4194-9428-0ab6d7d427eb"/>
    <n v="3"/>
  </r>
  <r>
    <d v="2026-07-09T20:35:43"/>
    <d v="2026-07-09T20:37:22"/>
    <x v="0"/>
    <d v="2026-07-09T00:00:00"/>
    <m/>
    <x v="1"/>
    <s v="قيسان"/>
    <s v="نعم"/>
    <s v="على عبدالله حسن "/>
    <s v="ذكر"/>
    <n v="80"/>
    <s v="دفتر عائلة "/>
    <m/>
    <n v="74125"/>
    <n v="10"/>
    <n v="4"/>
    <n v="4"/>
    <n v="1"/>
    <n v="1"/>
    <n v="0"/>
    <n v="0"/>
    <n v="0"/>
    <n v="0"/>
    <d v="2024-07-09T00:00:00"/>
    <s v="مدينة"/>
    <s v="مبنى كامل "/>
    <m/>
    <s v="لا يوجد "/>
    <m/>
    <m/>
    <m/>
    <m/>
    <m/>
    <m/>
    <m/>
    <m/>
    <m/>
    <n v="808630860"/>
    <s v="686b842e-3701-4867-a654-6a36b288840a"/>
    <d v="2026-07-12T06:59:06"/>
    <m/>
    <m/>
    <s v="submitted_via_web"/>
    <s v="saifeldein811"/>
    <s v="va233myFGgDYnMJ5K2mWNL"/>
    <m/>
    <s v="uuid:686b842e-3701-4867-a654-6a36b288840a"/>
    <n v="4"/>
  </r>
  <r>
    <d v="2026-07-09T20:37:34"/>
    <d v="2026-07-09T20:39:33"/>
    <x v="0"/>
    <d v="2026-07-09T00:00:00"/>
    <m/>
    <x v="1"/>
    <s v="قنيص"/>
    <s v="نعم"/>
    <s v="نصرالدين يحى سعد "/>
    <s v="ذكر"/>
    <n v="35"/>
    <s v="غير ذلك حدد"/>
    <s v="جواز سفر "/>
    <n v="69853"/>
    <n v="7"/>
    <n v="0"/>
    <n v="0"/>
    <n v="2"/>
    <n v="2"/>
    <n v="3"/>
    <n v="0"/>
    <n v="0"/>
    <n v="0"/>
    <d v="2018-07-09T00:00:00"/>
    <s v="خيم في مدينة او قرية "/>
    <s v="خيم "/>
    <m/>
    <s v="لا يوجد "/>
    <m/>
    <m/>
    <m/>
    <m/>
    <m/>
    <m/>
    <m/>
    <m/>
    <m/>
    <n v="808630865"/>
    <s v="0ef90770-0480-45e9-8b27-c9944e7be257"/>
    <d v="2026-07-12T06:59:07"/>
    <m/>
    <m/>
    <s v="submitted_via_web"/>
    <s v="saifeldein811"/>
    <s v="va233myFGgDYnMJ5K2mWNL"/>
    <m/>
    <s v="uuid:0ef90770-0480-45e9-8b27-c9944e7be257"/>
    <n v="5"/>
  </r>
  <r>
    <d v="2026-07-09T20:42:28"/>
    <d v="2026-07-09T20:43:56"/>
    <x v="1"/>
    <d v="2026-07-09T00:00:00"/>
    <m/>
    <x v="1"/>
    <s v="الشرقي"/>
    <s v="نعم"/>
    <s v="فائز محمد احمد"/>
    <s v="ذكر"/>
    <n v="40"/>
    <s v="غير ذلك حدد"/>
    <s v="جواز السفر "/>
    <n v="25802"/>
    <n v="8"/>
    <n v="1"/>
    <n v="0"/>
    <n v="1"/>
    <n v="2"/>
    <n v="2"/>
    <n v="2"/>
    <n v="0"/>
    <n v="0"/>
    <d v="2026-05-11T00:00:00"/>
    <s v="قرية"/>
    <s v="خيم "/>
    <m/>
    <s v="لا يوجد "/>
    <m/>
    <m/>
    <m/>
    <m/>
    <m/>
    <m/>
    <m/>
    <m/>
    <m/>
    <n v="808630884"/>
    <s v="da9e486d-339b-4f89-90cf-28ff51cfdec9"/>
    <d v="2026-07-12T06:59:09"/>
    <m/>
    <m/>
    <s v="submitted_via_web"/>
    <s v="saifeldein811"/>
    <s v="va233myFGgDYnMJ5K2mWNL"/>
    <m/>
    <s v="uuid:da9e486d-339b-4f89-90cf-28ff51cfdec9"/>
    <n v="7"/>
  </r>
  <r>
    <d v="2026-07-09T20:44:05"/>
    <d v="2026-07-09T20:45:37"/>
    <x v="2"/>
    <d v="2026-07-09T00:00:00"/>
    <m/>
    <x v="1"/>
    <s v="قيسان"/>
    <s v="نعم"/>
    <s v="عيسى عبيد محمد "/>
    <s v="ذكر"/>
    <n v="45"/>
    <s v="عقد زواج "/>
    <m/>
    <n v="14780"/>
    <n v="9"/>
    <n v="2"/>
    <n v="0"/>
    <n v="2"/>
    <n v="2"/>
    <n v="3"/>
    <n v="0"/>
    <n v="0"/>
    <n v="0"/>
    <d v="2022-07-09T00:00:00"/>
    <s v="خيم في مدينة او قرية "/>
    <s v="مبنى غير مكتمل "/>
    <m/>
    <s v="لا يوجد "/>
    <m/>
    <m/>
    <m/>
    <m/>
    <m/>
    <m/>
    <m/>
    <m/>
    <m/>
    <n v="808630887"/>
    <s v="7fbed815-9e28-4ca3-a52f-a0446c61b5f2"/>
    <d v="2026-07-12T06:59:10"/>
    <m/>
    <m/>
    <s v="submitted_via_web"/>
    <s v="saifeldein811"/>
    <s v="va233myFGgDYnMJ5K2mWNL"/>
    <m/>
    <s v="uuid:7fbed815-9e28-4ca3-a52f-a0446c61b5f2"/>
    <n v="8"/>
  </r>
  <r>
    <d v="2026-07-09T20:45:43"/>
    <d v="2026-07-09T20:47:33"/>
    <x v="2"/>
    <d v="2026-07-09T00:00:00"/>
    <m/>
    <x v="1"/>
    <s v="سوبا "/>
    <s v="نعم"/>
    <s v="محمد ادم عبدالله "/>
    <s v="ذكر"/>
    <n v="29"/>
    <s v="غير ذلك حدد"/>
    <s v="جواز سفر "/>
    <n v="36587"/>
    <n v="5"/>
    <n v="1"/>
    <n v="0"/>
    <n v="2"/>
    <n v="2"/>
    <n v="0"/>
    <n v="0"/>
    <n v="0"/>
    <n v="0"/>
    <d v="2025-07-09T00:00:00"/>
    <s v="قرية"/>
    <s v="مبنى كامل "/>
    <m/>
    <s v="لا يوجد "/>
    <m/>
    <m/>
    <m/>
    <m/>
    <m/>
    <m/>
    <m/>
    <m/>
    <m/>
    <n v="808630895"/>
    <s v="fb319763-0011-481b-ae2d-f036f6e66f72"/>
    <d v="2026-07-12T06:59:11"/>
    <m/>
    <m/>
    <s v="submitted_via_web"/>
    <s v="saifeldein811"/>
    <s v="va233myFGgDYnMJ5K2mWNL"/>
    <m/>
    <s v="uuid:fb319763-0011-481b-ae2d-f036f6e66f72"/>
    <n v="9"/>
  </r>
  <r>
    <d v="2026-07-09T20:49:37"/>
    <d v="2026-07-09T20:53:28"/>
    <x v="2"/>
    <d v="2026-07-09T00:00:00"/>
    <m/>
    <x v="0"/>
    <s v="النهضة "/>
    <s v="نعم"/>
    <s v="كمال الدين طارق كمال"/>
    <s v="ذكر"/>
    <n v="31"/>
    <s v="عقد زواج "/>
    <m/>
    <n v="36980"/>
    <n v="10"/>
    <n v="2"/>
    <n v="0"/>
    <n v="0"/>
    <n v="3"/>
    <n v="3"/>
    <n v="2"/>
    <n v="0"/>
    <n v="0"/>
    <d v="2026-07-13T00:00:00"/>
    <s v="مخيم"/>
    <s v="مبنى غير مكتمل "/>
    <m/>
    <s v="لا يوجد "/>
    <m/>
    <m/>
    <m/>
    <m/>
    <m/>
    <m/>
    <m/>
    <m/>
    <m/>
    <n v="808630905"/>
    <s v="7469155c-a39f-4583-9cbc-d53ee342a479"/>
    <d v="2026-07-12T06:59:12"/>
    <m/>
    <m/>
    <s v="submitted_via_web"/>
    <s v="saifeldein811"/>
    <s v="va233myFGgDYnMJ5K2mWNL"/>
    <m/>
    <s v="uuid:7469155c-a39f-4583-9cbc-d53ee342a479"/>
    <n v="11"/>
  </r>
  <r>
    <d v="2026-07-09T20:54:17"/>
    <d v="2026-07-09T20:55:41"/>
    <x v="2"/>
    <d v="2026-07-09T00:00:00"/>
    <m/>
    <x v="1"/>
    <s v="الغربي"/>
    <s v="نعم"/>
    <s v="الصادق حسن عبدالرحمن"/>
    <s v="ذكر"/>
    <n v="31"/>
    <s v="دفتر عائلة "/>
    <m/>
    <n v="8569"/>
    <n v="6"/>
    <n v="1"/>
    <n v="0"/>
    <n v="2"/>
    <n v="2"/>
    <n v="0"/>
    <n v="0"/>
    <n v="0"/>
    <n v="0"/>
    <d v="2017-07-09T00:00:00"/>
    <s v="مخيم"/>
    <s v="مبنى كامل "/>
    <m/>
    <s v="لا يوجد "/>
    <m/>
    <m/>
    <m/>
    <m/>
    <m/>
    <m/>
    <m/>
    <m/>
    <m/>
    <n v="808630910"/>
    <s v="25de1022-1890-44be-8e2a-23efa1f43dac"/>
    <d v="2026-07-12T06:59:13"/>
    <m/>
    <m/>
    <s v="submitted_via_web"/>
    <s v="saifeldein811"/>
    <s v="va233myFGgDYnMJ5K2mWNL"/>
    <m/>
    <s v="uuid:25de1022-1890-44be-8e2a-23efa1f43dac"/>
    <n v="12"/>
  </r>
  <r>
    <d v="2026-07-09T20:56:02"/>
    <d v="2026-07-09T20:57:35"/>
    <x v="2"/>
    <d v="2026-07-09T00:00:00"/>
    <m/>
    <x v="1"/>
    <s v="عروسة"/>
    <s v="نعم"/>
    <s v="النور سليمان محمد "/>
    <s v="ذكر"/>
    <n v="26"/>
    <s v="دفتر عائلة "/>
    <m/>
    <n v="45678"/>
    <n v="8"/>
    <n v="2"/>
    <n v="0"/>
    <n v="2"/>
    <n v="2"/>
    <n v="2"/>
    <n v="0"/>
    <n v="0"/>
    <n v="0"/>
    <d v="2023-07-09T00:00:00"/>
    <s v="قرية"/>
    <s v="مبنى غير مكتمل "/>
    <m/>
    <s v="لا يوجد "/>
    <m/>
    <m/>
    <m/>
    <m/>
    <m/>
    <m/>
    <m/>
    <m/>
    <m/>
    <n v="808630915"/>
    <s v="25f719c9-73d8-40d7-876b-426afb2976e0"/>
    <d v="2026-07-12T06:59:13"/>
    <m/>
    <m/>
    <s v="submitted_via_web"/>
    <s v="saifeldein811"/>
    <s v="va233myFGgDYnMJ5K2mWNL"/>
    <m/>
    <s v="uuid:25f719c9-73d8-40d7-876b-426afb2976e0"/>
    <n v="13"/>
  </r>
  <r>
    <d v="2026-07-10T12:44:36"/>
    <d v="2026-07-10T12:45:56"/>
    <x v="3"/>
    <d v="2026-07-10T00:00:00"/>
    <m/>
    <x v="0"/>
    <s v="النصر غرب "/>
    <s v="نعم"/>
    <s v="صلاح عبدالقادر محمد"/>
    <s v="ذكر"/>
    <n v="58"/>
    <s v="عقد زواج "/>
    <m/>
    <n v="8523"/>
    <n v="10"/>
    <n v="2"/>
    <n v="0"/>
    <n v="2"/>
    <n v="2"/>
    <n v="2"/>
    <n v="0"/>
    <n v="0"/>
    <n v="0"/>
    <d v="2026-05-10T00:00:00"/>
    <s v="مخيم"/>
    <s v="مبنى غير مكتمل "/>
    <m/>
    <s v="لا يوجد "/>
    <m/>
    <m/>
    <m/>
    <m/>
    <m/>
    <m/>
    <m/>
    <m/>
    <m/>
    <n v="808630924"/>
    <s v="b46227a9-301a-4abe-9ec2-0d5fed48ba73"/>
    <d v="2026-07-12T06:59:14"/>
    <m/>
    <m/>
    <s v="submitted_via_web"/>
    <s v="saifeldein811"/>
    <s v="va233myFGgDYnMJ5K2mWNL"/>
    <m/>
    <s v="uuid:b46227a9-301a-4abe-9ec2-0d5fed48ba73"/>
    <n v="15"/>
  </r>
  <r>
    <d v="2026-07-10T12:46:16"/>
    <d v="2026-07-10T12:47:52"/>
    <x v="3"/>
    <d v="2026-07-10T00:00:00"/>
    <m/>
    <x v="0"/>
    <s v="المزاد "/>
    <s v="نعم"/>
    <s v="احمد محمد جمال "/>
    <s v="ذكر"/>
    <n v="36"/>
    <s v="عقد زواج "/>
    <m/>
    <n v="48095"/>
    <n v="5"/>
    <n v="1"/>
    <n v="0"/>
    <n v="2"/>
    <n v="2"/>
    <n v="0"/>
    <n v="0"/>
    <n v="0"/>
    <n v="0"/>
    <d v="2024-07-10T00:00:00"/>
    <s v="مدينة"/>
    <s v="خيم "/>
    <m/>
    <s v="لا يوجد "/>
    <m/>
    <m/>
    <m/>
    <m/>
    <m/>
    <m/>
    <m/>
    <m/>
    <m/>
    <n v="808630929"/>
    <s v="dee0ba5b-85d4-4b03-992f-809d10110bd3"/>
    <d v="2026-07-12T06:59:15"/>
    <m/>
    <m/>
    <s v="submitted_via_web"/>
    <s v="saifeldein811"/>
    <s v="va233myFGgDYnMJ5K2mWNL"/>
    <m/>
    <s v="uuid:dee0ba5b-85d4-4b03-992f-809d10110bd3"/>
    <n v="16"/>
  </r>
  <r>
    <d v="2026-07-10T12:48:07"/>
    <d v="2026-07-10T12:49:55"/>
    <x v="4"/>
    <d v="2026-07-10T00:00:00"/>
    <m/>
    <x v="0"/>
    <s v="اركويت  "/>
    <s v="نعم"/>
    <s v="سامية محمد نور "/>
    <s v="انثى"/>
    <n v="30"/>
    <s v="دفتر عائلة "/>
    <m/>
    <n v="41207"/>
    <n v="10"/>
    <n v="0"/>
    <n v="0"/>
    <n v="3"/>
    <n v="3"/>
    <n v="2"/>
    <n v="2"/>
    <n v="0"/>
    <n v="0"/>
    <d v="2020-07-10T00:00:00"/>
    <s v="مخيم"/>
    <s v="مبنى غير مكتمل "/>
    <m/>
    <s v="لا يوجد "/>
    <m/>
    <m/>
    <m/>
    <m/>
    <m/>
    <m/>
    <m/>
    <m/>
    <m/>
    <n v="808630932"/>
    <s v="9255027a-ab75-4957-8b00-fd7df4fd818c"/>
    <d v="2026-07-12T06:59:15"/>
    <m/>
    <m/>
    <s v="submitted_via_web"/>
    <s v="saifeldein811"/>
    <s v="va233myFGgDYnMJ5K2mWNL"/>
    <m/>
    <s v="uuid:9255027a-ab75-4957-8b00-fd7df4fd818c"/>
    <n v="17"/>
  </r>
  <r>
    <d v="2026-07-10T12:50:04"/>
    <d v="2026-07-10T12:51:56"/>
    <x v="3"/>
    <d v="2026-07-10T00:00:00"/>
    <m/>
    <x v="0"/>
    <s v="المطار"/>
    <s v="نعم"/>
    <s v="حواء يحى ادم "/>
    <s v="انثى"/>
    <n v="29"/>
    <s v="غير ذلك حدد"/>
    <s v="جواز سفر "/>
    <n v="47921"/>
    <n v="5"/>
    <n v="0"/>
    <n v="2"/>
    <n v="3"/>
    <n v="0"/>
    <n v="0"/>
    <n v="0"/>
    <n v="0"/>
    <n v="0"/>
    <d v="2025-07-10T00:00:00"/>
    <s v="مخيم"/>
    <s v="مبنى غير مكتمل "/>
    <m/>
    <s v="لا يوجد "/>
    <m/>
    <m/>
    <m/>
    <m/>
    <m/>
    <m/>
    <m/>
    <m/>
    <m/>
    <n v="808630939"/>
    <s v="2f04bc47-911f-4023-956e-2918945b2ee5"/>
    <d v="2026-07-12T06:59:16"/>
    <m/>
    <m/>
    <s v="submitted_via_web"/>
    <s v="saifeldein811"/>
    <s v="va233myFGgDYnMJ5K2mWNL"/>
    <m/>
    <s v="uuid:2f04bc47-911f-4023-956e-2918945b2ee5"/>
    <n v="18"/>
  </r>
  <r>
    <d v="2026-07-10T12:52:01"/>
    <d v="2026-07-10T12:53:18"/>
    <x v="3"/>
    <d v="2026-07-10T00:00:00"/>
    <m/>
    <x v="1"/>
    <s v="عروسة"/>
    <s v="نعم"/>
    <s v="خديجة بخيت علي "/>
    <s v="انثى"/>
    <n v="35"/>
    <s v="هوية "/>
    <m/>
    <n v="73861"/>
    <n v="8"/>
    <n v="2"/>
    <n v="0"/>
    <n v="4"/>
    <n v="4"/>
    <n v="0"/>
    <n v="0"/>
    <n v="0"/>
    <n v="0"/>
    <d v="2021-07-10T00:00:00"/>
    <s v="قرية"/>
    <s v="مبنى غير مكتمل "/>
    <m/>
    <s v="لا يوجد "/>
    <m/>
    <m/>
    <m/>
    <m/>
    <m/>
    <m/>
    <m/>
    <m/>
    <m/>
    <n v="808630943"/>
    <s v="555d40de-b1eb-49d2-af57-f5e99e5c631e"/>
    <d v="2026-07-12T06:59:16"/>
    <m/>
    <m/>
    <s v="submitted_via_web"/>
    <s v="saifeldein811"/>
    <s v="va233myFGgDYnMJ5K2mWNL"/>
    <m/>
    <s v="uuid:555d40de-b1eb-49d2-af57-f5e99e5c631e"/>
    <n v="19"/>
  </r>
  <r>
    <d v="2026-07-10T14:31:14"/>
    <d v="2026-07-10T14:33:29"/>
    <x v="5"/>
    <d v="2026-07-10T00:00:00"/>
    <m/>
    <x v="1"/>
    <s v="عروسة"/>
    <s v="نعم"/>
    <s v="يحى مختار عيسى"/>
    <s v="ذكر"/>
    <n v="60"/>
    <s v="عقد زواج "/>
    <m/>
    <n v="5874"/>
    <n v="12"/>
    <n v="2"/>
    <n v="0"/>
    <n v="4"/>
    <n v="2"/>
    <n v="2"/>
    <n v="0"/>
    <n v="0"/>
    <n v="0"/>
    <d v="2020-07-10T00:00:00"/>
    <s v="خيم في مدينة او قرية "/>
    <s v="مبنى غير مكتمل "/>
    <m/>
    <s v="لا يوجد. "/>
    <m/>
    <m/>
    <m/>
    <m/>
    <m/>
    <m/>
    <m/>
    <m/>
    <m/>
    <n v="808630947"/>
    <s v="76aa2e2f-cca1-4139-829e-a55c64e32ebf"/>
    <d v="2026-07-12T06:59:17"/>
    <m/>
    <m/>
    <s v="submitted_via_web"/>
    <s v="saifeldein811"/>
    <s v="va233myFGgDYnMJ5K2mWNL"/>
    <m/>
    <s v="uuid:76aa2e2f-cca1-4139-829e-a55c64e32ebf"/>
    <n v="20"/>
  </r>
  <r>
    <d v="2026-07-10T14:33:33"/>
    <d v="2026-07-10T14:34:42"/>
    <x v="5"/>
    <d v="2026-07-10T00:00:00"/>
    <m/>
    <x v="1"/>
    <s v="عروسة"/>
    <s v="نعم"/>
    <s v="ادم خليفة سعد "/>
    <s v="ذكر"/>
    <n v="28"/>
    <s v="هوية "/>
    <m/>
    <n v="97854"/>
    <n v="9"/>
    <n v="0"/>
    <n v="2"/>
    <n v="2"/>
    <n v="2"/>
    <n v="2"/>
    <n v="0"/>
    <n v="0"/>
    <n v="0"/>
    <d v="2014-07-10T00:00:00"/>
    <s v="قرية"/>
    <s v="خيم "/>
    <m/>
    <s v="لا يوجد "/>
    <m/>
    <m/>
    <m/>
    <m/>
    <m/>
    <m/>
    <m/>
    <m/>
    <m/>
    <n v="808630952"/>
    <s v="73bba291-d8bc-47e0-a968-046741116391"/>
    <d v="2026-07-12T06:59:17"/>
    <m/>
    <m/>
    <s v="submitted_via_web"/>
    <s v="saifeldein811"/>
    <s v="va233myFGgDYnMJ5K2mWNL"/>
    <m/>
    <s v="uuid:73bba291-d8bc-47e0-a968-046741116391"/>
    <n v="21"/>
  </r>
  <r>
    <d v="2026-07-10T14:34:49"/>
    <d v="2026-07-10T14:35:58"/>
    <x v="5"/>
    <d v="2026-07-10T00:00:00"/>
    <m/>
    <x v="1"/>
    <s v="الشرقي"/>
    <s v="نعم"/>
    <s v="عمر عيسى محمد "/>
    <s v="ذكر"/>
    <n v="48"/>
    <s v="عقد زواج "/>
    <m/>
    <n v="43018"/>
    <n v="5"/>
    <n v="0"/>
    <n v="0"/>
    <n v="2"/>
    <n v="2"/>
    <n v="2"/>
    <n v="1"/>
    <n v="0"/>
    <n v="0"/>
    <d v="2026-07-05T00:00:00"/>
    <s v="مخيم"/>
    <s v="خيم "/>
    <m/>
    <s v="لا يوجد "/>
    <m/>
    <m/>
    <m/>
    <m/>
    <m/>
    <m/>
    <m/>
    <m/>
    <m/>
    <n v="808630954"/>
    <s v="cfacfd3a-c778-4aa7-8dae-82e490ff6b23"/>
    <d v="2026-07-12T06:59:18"/>
    <m/>
    <m/>
    <s v="submitted_via_web"/>
    <s v="saifeldein811"/>
    <s v="va233myFGgDYnMJ5K2mWNL"/>
    <m/>
    <s v="uuid:cfacfd3a-c778-4aa7-8dae-82e490ff6b23"/>
    <n v="22"/>
  </r>
  <r>
    <d v="2026-07-10T14:36:09"/>
    <d v="2026-07-10T14:37:13"/>
    <x v="5"/>
    <d v="2026-07-10T00:00:00"/>
    <m/>
    <x v="1"/>
    <s v="الجنوبي"/>
    <s v="نعم"/>
    <s v="ابشر محمد جمال "/>
    <s v="ذكر"/>
    <n v="45"/>
    <s v="غير ذلك حدد"/>
    <s v="جواز سفر "/>
    <n v="74125"/>
    <n v="8"/>
    <n v="0"/>
    <n v="0"/>
    <n v="4"/>
    <n v="4"/>
    <n v="0"/>
    <n v="0"/>
    <n v="0"/>
    <n v="0"/>
    <d v="2021-07-10T00:00:00"/>
    <s v="قرية"/>
    <s v="مبنى غير مكتمل "/>
    <m/>
    <s v="لا يوجد "/>
    <m/>
    <m/>
    <m/>
    <m/>
    <m/>
    <m/>
    <m/>
    <m/>
    <m/>
    <n v="808630957"/>
    <s v="631c25bb-2613-4655-8875-66b6ce456a67"/>
    <d v="2026-07-12T06:59:18"/>
    <m/>
    <m/>
    <s v="submitted_via_web"/>
    <s v="saifeldein811"/>
    <s v="va233myFGgDYnMJ5K2mWNL"/>
    <m/>
    <s v="uuid:631c25bb-2613-4655-8875-66b6ce456a67"/>
    <n v="23"/>
  </r>
  <r>
    <d v="2026-07-10T14:37:17"/>
    <d v="2026-07-10T14:38:57"/>
    <x v="5"/>
    <d v="2026-07-10T00:00:00"/>
    <m/>
    <x v="1"/>
    <s v="الغربي"/>
    <s v="نعم"/>
    <s v="صلاح الدين الماحي محمد ادم "/>
    <s v="ذكر"/>
    <n v="9"/>
    <s v="دفتر عائلة "/>
    <m/>
    <n v="58026"/>
    <n v="4"/>
    <n v="0"/>
    <n v="0"/>
    <n v="2"/>
    <n v="2"/>
    <n v="0"/>
    <n v="0"/>
    <n v="0"/>
    <n v="0"/>
    <d v="2026-07-02T00:00:00"/>
    <s v="مخيم"/>
    <s v="خيم "/>
    <m/>
    <s v="لا يوجد "/>
    <m/>
    <m/>
    <m/>
    <m/>
    <m/>
    <m/>
    <m/>
    <m/>
    <m/>
    <n v="808630959"/>
    <s v="cc463584-791c-4b57-9738-63f9aa8232a9"/>
    <d v="2026-07-12T06:59:19"/>
    <m/>
    <m/>
    <s v="submitted_via_web"/>
    <s v="saifeldein811"/>
    <s v="va233myFGgDYnMJ5K2mWNL"/>
    <m/>
    <s v="uuid:cc463584-791c-4b57-9738-63f9aa8232a9"/>
    <n v="24"/>
  </r>
  <r>
    <d v="2026-07-10T14:39:02"/>
    <d v="2026-07-10T14:40:22"/>
    <x v="5"/>
    <d v="2026-07-10T00:00:00"/>
    <m/>
    <x v="1"/>
    <s v="عروسة"/>
    <s v="نعم"/>
    <s v="منصور السالمي احمد"/>
    <s v="ذكر"/>
    <n v="58"/>
    <s v="غير ذلك حدد"/>
    <s v="جواز سفر "/>
    <n v="36914"/>
    <n v="8"/>
    <n v="0"/>
    <n v="0"/>
    <n v="2"/>
    <n v="4"/>
    <n v="1"/>
    <n v="0"/>
    <n v="0"/>
    <n v="0"/>
    <d v="2026-07-10T00:00:00"/>
    <s v="قرية"/>
    <s v="مبنى غير مكتمل "/>
    <m/>
    <s v="لا يوجد"/>
    <m/>
    <m/>
    <m/>
    <m/>
    <m/>
    <m/>
    <m/>
    <m/>
    <m/>
    <n v="808630964"/>
    <s v="e8f4e011-2314-4a34-846a-2338040e501f"/>
    <d v="2026-07-12T06:59:19"/>
    <m/>
    <m/>
    <s v="submitted_via_web"/>
    <s v="saifeldein811"/>
    <s v="va233myFGgDYnMJ5K2mWNL"/>
    <m/>
    <s v="uuid:e8f4e011-2314-4a34-846a-2338040e501f"/>
    <n v="25"/>
  </r>
  <r>
    <d v="2026-07-10T14:40:33"/>
    <d v="2026-07-10T14:41:48"/>
    <x v="5"/>
    <d v="2026-07-10T00:00:00"/>
    <m/>
    <x v="0"/>
    <s v="النهضة "/>
    <s v="نعم"/>
    <s v="بابكر لقمان احمد "/>
    <s v="ذكر"/>
    <n v="28"/>
    <s v="عقد زواج "/>
    <m/>
    <n v="8529"/>
    <n v="8"/>
    <n v="2"/>
    <n v="0"/>
    <n v="4"/>
    <n v="2"/>
    <n v="0"/>
    <n v="0"/>
    <n v="0"/>
    <n v="0"/>
    <d v="2025-07-10T00:00:00"/>
    <s v="قرية"/>
    <s v="خيم "/>
    <m/>
    <s v="لا يوجد "/>
    <m/>
    <m/>
    <m/>
    <m/>
    <m/>
    <m/>
    <m/>
    <m/>
    <m/>
    <n v="808630968"/>
    <s v="fb063ead-3ffb-40d1-a2c3-c260a891a88e"/>
    <d v="2026-07-12T06:59:19"/>
    <m/>
    <m/>
    <s v="submitted_via_web"/>
    <s v="saifeldein811"/>
    <s v="va233myFGgDYnMJ5K2mWNL"/>
    <m/>
    <s v="uuid:fb063ead-3ffb-40d1-a2c3-c260a891a88e"/>
    <n v="26"/>
  </r>
  <r>
    <d v="2026-07-10T14:42:29"/>
    <d v="2026-07-10T14:43:36"/>
    <x v="5"/>
    <d v="2026-07-10T00:00:00"/>
    <m/>
    <x v="0"/>
    <s v="اركويت  "/>
    <s v="نعم"/>
    <s v="ابراهيم يعقوب موسى "/>
    <s v="ذكر"/>
    <n v="25"/>
    <s v="هوية "/>
    <m/>
    <n v="56478"/>
    <n v="6"/>
    <n v="2"/>
    <n v="0"/>
    <n v="4"/>
    <n v="0"/>
    <n v="8"/>
    <n v="0"/>
    <n v="0"/>
    <n v="0"/>
    <d v="2026-02-11T00:00:00"/>
    <s v="مدينة"/>
    <s v="خيم "/>
    <m/>
    <s v="لا يوجد "/>
    <m/>
    <m/>
    <m/>
    <m/>
    <m/>
    <m/>
    <m/>
    <m/>
    <m/>
    <n v="808630976"/>
    <s v="4741c299-a3e0-4e75-a485-b69c7eebba2c"/>
    <d v="2026-07-12T06:59:21"/>
    <m/>
    <m/>
    <s v="submitted_via_web"/>
    <s v="saifeldein811"/>
    <s v="va233myFGgDYnMJ5K2mWNL"/>
    <m/>
    <s v="uuid:4741c299-a3e0-4e75-a485-b69c7eebba2c"/>
    <n v="28"/>
  </r>
  <r>
    <d v="2026-07-10T16:55:48"/>
    <d v="2026-07-10T16:57:27"/>
    <x v="6"/>
    <d v="2026-07-10T00:00:00"/>
    <m/>
    <x v="0"/>
    <s v="النهضة "/>
    <s v="نعم"/>
    <s v="ابو عبدالقادر عثمان "/>
    <s v="ذكر"/>
    <n v="30"/>
    <s v="دفتر عائلة "/>
    <m/>
    <n v="55250"/>
    <n v="5"/>
    <n v="2"/>
    <n v="2"/>
    <n v="1"/>
    <n v="0"/>
    <n v="0"/>
    <n v="0"/>
    <n v="0"/>
    <n v="0"/>
    <d v="2019-07-10T00:00:00"/>
    <s v="قرية"/>
    <s v="مبنى كامل "/>
    <m/>
    <s v="لا يوجد "/>
    <m/>
    <m/>
    <m/>
    <m/>
    <m/>
    <m/>
    <m/>
    <m/>
    <m/>
    <n v="808630980"/>
    <s v="e4ca72bc-0d21-4dfb-9996-ea019959ab79"/>
    <d v="2026-07-12T06:59:21"/>
    <m/>
    <m/>
    <s v="submitted_via_web"/>
    <s v="saifeldein811"/>
    <s v="va233myFGgDYnMJ5K2mWNL"/>
    <m/>
    <s v="uuid:e4ca72bc-0d21-4dfb-9996-ea019959ab79"/>
    <n v="29"/>
  </r>
  <r>
    <d v="2026-07-10T21:34:36"/>
    <d v="2026-07-10T21:35:45"/>
    <x v="6"/>
    <d v="2026-07-10T00:00:00"/>
    <m/>
    <x v="0"/>
    <s v="النهضة "/>
    <s v="نعم"/>
    <s v="على كرتي احمد "/>
    <s v="ذكر"/>
    <n v="50"/>
    <s v="عقد زواج "/>
    <m/>
    <n v="40321"/>
    <n v="8"/>
    <n v="0"/>
    <n v="0"/>
    <n v="4"/>
    <n v="2"/>
    <n v="2"/>
    <n v="0"/>
    <n v="0"/>
    <n v="0"/>
    <d v="2023-07-10T00:00:00"/>
    <s v="قرية"/>
    <s v="مبنى غير مكتمل "/>
    <m/>
    <s v="لا يوجد "/>
    <m/>
    <m/>
    <m/>
    <m/>
    <m/>
    <m/>
    <m/>
    <m/>
    <m/>
    <n v="808630985"/>
    <s v="d51a2c83-0857-40db-bd83-0ce653b8e1fa"/>
    <d v="2026-07-12T06:59:22"/>
    <m/>
    <m/>
    <s v="submitted_via_web"/>
    <s v="saifeldein811"/>
    <s v="va233myFGgDYnMJ5K2mWNL"/>
    <m/>
    <s v="uuid:d51a2c83-0857-40db-bd83-0ce653b8e1fa"/>
    <n v="30"/>
  </r>
  <r>
    <d v="2026-07-10T21:37:10"/>
    <d v="2026-07-10T21:38:55"/>
    <x v="6"/>
    <d v="2026-07-10T00:00:00"/>
    <m/>
    <x v="0"/>
    <s v="المطار"/>
    <s v="نعم"/>
    <s v="دينار احمد علي "/>
    <s v="ذكر"/>
    <n v="40"/>
    <s v="غير ذلك حدد"/>
    <s v="جواز سفر "/>
    <n v="14280"/>
    <n v="9"/>
    <n v="2"/>
    <n v="0"/>
    <n v="3"/>
    <n v="3"/>
    <n v="0"/>
    <n v="0"/>
    <n v="0"/>
    <n v="0"/>
    <d v="2016-07-10T00:00:00"/>
    <s v="قرية"/>
    <s v="مبنى غير مكتمل "/>
    <m/>
    <s v="لا يوجد "/>
    <m/>
    <m/>
    <m/>
    <m/>
    <m/>
    <m/>
    <m/>
    <m/>
    <m/>
    <n v="808631004"/>
    <s v="0ea93016-403b-4377-8686-794e7bf00818"/>
    <d v="2026-07-12T06:59:24"/>
    <m/>
    <m/>
    <s v="submitted_via_web"/>
    <s v="saifeldein811"/>
    <s v="va233myFGgDYnMJ5K2mWNL"/>
    <m/>
    <s v="uuid:0ea93016-403b-4377-8686-794e7bf00818"/>
    <n v="32"/>
  </r>
  <r>
    <d v="2026-07-10T21:40:02"/>
    <d v="2026-07-10T21:41:24"/>
    <x v="7"/>
    <d v="2026-07-10T00:00:00"/>
    <m/>
    <x v="1"/>
    <s v="الجنوبي"/>
    <s v="نعم"/>
    <s v="دينار على ادم "/>
    <s v="ذكر"/>
    <n v="40"/>
    <s v="دفتر عائلة "/>
    <m/>
    <n v="14780"/>
    <n v="5"/>
    <n v="2"/>
    <n v="0"/>
    <n v="2"/>
    <n v="1"/>
    <n v="0"/>
    <n v="0"/>
    <n v="0"/>
    <n v="0"/>
    <d v="2026-07-10T00:00:00"/>
    <s v="مخيم"/>
    <s v="مبنى غير مكتمل "/>
    <m/>
    <s v="نازح جديد "/>
    <m/>
    <m/>
    <m/>
    <m/>
    <m/>
    <m/>
    <m/>
    <m/>
    <m/>
    <n v="808631007"/>
    <s v="950bd5ca-e1b8-4e41-bd0c-dcd75c59e8ef"/>
    <d v="2026-07-12T06:59:25"/>
    <m/>
    <m/>
    <s v="submitted_via_web"/>
    <s v="saifeldein811"/>
    <s v="va233myFGgDYnMJ5K2mWNL"/>
    <m/>
    <s v="uuid:950bd5ca-e1b8-4e41-bd0c-dcd75c59e8ef"/>
    <n v="33"/>
  </r>
  <r>
    <d v="2026-07-10T21:41:47"/>
    <d v="2026-07-10T21:43:11"/>
    <x v="7"/>
    <d v="2026-07-10T00:00:00"/>
    <m/>
    <x v="1"/>
    <s v="الغربي"/>
    <s v="نعم"/>
    <s v="عيسى خليفة محمد "/>
    <s v="ذكر"/>
    <n v="80"/>
    <s v="غير ذلك حدد"/>
    <s v="جواز سفر "/>
    <n v="45678"/>
    <n v="10"/>
    <n v="0"/>
    <n v="0"/>
    <n v="3"/>
    <n v="3"/>
    <n v="2"/>
    <n v="2"/>
    <n v="0"/>
    <n v="0"/>
    <d v="2012-07-10T00:00:00"/>
    <s v="قرية"/>
    <s v="مبنى غير مكتمل "/>
    <m/>
    <s v="لا يوجد "/>
    <m/>
    <m/>
    <m/>
    <m/>
    <m/>
    <m/>
    <m/>
    <m/>
    <m/>
    <n v="808631016"/>
    <s v="08338a82-f1b0-48cc-bb8e-3914e014afee"/>
    <d v="2026-07-12T06:59:26"/>
    <m/>
    <m/>
    <s v="submitted_via_web"/>
    <s v="saifeldein811"/>
    <s v="va233myFGgDYnMJ5K2mWNL"/>
    <m/>
    <s v="uuid:08338a82-f1b0-48cc-bb8e-3914e014afee"/>
    <n v="34"/>
  </r>
  <r>
    <d v="2026-07-10T21:44:44"/>
    <d v="2026-07-10T21:45:56"/>
    <x v="7"/>
    <d v="2026-07-10T00:00:00"/>
    <m/>
    <x v="1"/>
    <s v="الجنوبي"/>
    <s v="نعم"/>
    <s v="فياض محمد يعقوب "/>
    <s v="ذكر"/>
    <n v="40"/>
    <s v="دفتر عائلة "/>
    <m/>
    <n v="40285"/>
    <n v="6"/>
    <n v="2"/>
    <n v="0"/>
    <n v="1"/>
    <n v="2"/>
    <n v="1"/>
    <n v="0"/>
    <n v="0"/>
    <n v="0"/>
    <d v="2026-03-05T00:00:00"/>
    <s v="خيم في مدينة او قرية "/>
    <s v="مبنى غير مكتمل "/>
    <m/>
    <s v="لا يوجد "/>
    <m/>
    <m/>
    <m/>
    <m/>
    <m/>
    <m/>
    <m/>
    <m/>
    <m/>
    <n v="808631029"/>
    <s v="8176ad8c-f1db-4869-9b99-9417820ed59c"/>
    <d v="2026-07-12T06:59:27"/>
    <m/>
    <m/>
    <s v="submitted_via_web"/>
    <s v="saifeldein811"/>
    <s v="va233myFGgDYnMJ5K2mWNL"/>
    <m/>
    <s v="uuid:8176ad8c-f1db-4869-9b99-9417820ed59c"/>
    <n v="36"/>
  </r>
  <r>
    <d v="2026-07-10T21:50:13"/>
    <d v="2026-07-10T21:51:55"/>
    <x v="7"/>
    <d v="2026-07-10T00:00:00"/>
    <m/>
    <x v="1"/>
    <s v="قنيص"/>
    <s v="نعم"/>
    <s v="متولى عبداللطيف جميل "/>
    <s v="ذكر"/>
    <n v="25"/>
    <s v="عقد زواج "/>
    <m/>
    <n v="26958"/>
    <n v="8"/>
    <n v="0"/>
    <n v="5"/>
    <n v="0"/>
    <n v="0"/>
    <n v="2"/>
    <n v="1"/>
    <n v="0"/>
    <n v="0"/>
    <d v="2026-07-10T00:00:00"/>
    <s v="مدينة"/>
    <s v="مبنى غير مكتمل "/>
    <m/>
    <s v="لا يوجد "/>
    <m/>
    <m/>
    <m/>
    <m/>
    <m/>
    <m/>
    <m/>
    <m/>
    <m/>
    <n v="808631033"/>
    <s v="7d132545-7e8f-47dd-b29f-f5b827794f5e"/>
    <d v="2026-07-12T06:59:28"/>
    <m/>
    <m/>
    <s v="submitted_via_web"/>
    <s v="saifeldein811"/>
    <s v="va233myFGgDYnMJ5K2mWNL"/>
    <m/>
    <s v="uuid:7d132545-7e8f-47dd-b29f-f5b827794f5e"/>
    <n v="37"/>
  </r>
  <r>
    <d v="2026-07-10T21:53:01"/>
    <d v="2026-07-10T21:54:58"/>
    <x v="8"/>
    <d v="2026-07-10T00:00:00"/>
    <m/>
    <x v="0"/>
    <s v=" بانت "/>
    <s v="نعم"/>
    <s v="مختار هارون عيسى"/>
    <s v="ذكر"/>
    <n v="8"/>
    <s v="عقد زواج "/>
    <m/>
    <n v="64925"/>
    <n v="8"/>
    <n v="0"/>
    <n v="0"/>
    <n v="2"/>
    <n v="4"/>
    <n v="2"/>
    <n v="0"/>
    <n v="0"/>
    <n v="0"/>
    <d v="2026-06-16T00:00:00"/>
    <s v="قرية"/>
    <s v="مبنى كامل "/>
    <m/>
    <s v="لا يوجد "/>
    <m/>
    <m/>
    <m/>
    <m/>
    <m/>
    <m/>
    <m/>
    <m/>
    <m/>
    <n v="808631040"/>
    <s v="52111e52-ac90-431a-94c0-83399b0eb30f"/>
    <d v="2026-07-12T06:59:29"/>
    <m/>
    <m/>
    <s v="submitted_via_web"/>
    <s v="saifeldein811"/>
    <s v="va233myFGgDYnMJ5K2mWNL"/>
    <m/>
    <s v="uuid:52111e52-ac90-431a-94c0-83399b0eb30f"/>
    <n v="38"/>
  </r>
  <r>
    <d v="2026-07-10T21:55:15"/>
    <d v="2026-07-10T21:56:46"/>
    <x v="8"/>
    <d v="2026-07-10T00:00:00"/>
    <m/>
    <x v="0"/>
    <s v="اركويت  "/>
    <s v="نعم"/>
    <s v="سيد أحمد بخيت "/>
    <s v="ذكر"/>
    <n v="45"/>
    <s v="عقد زواج "/>
    <m/>
    <n v="74325"/>
    <n v="6"/>
    <n v="2"/>
    <n v="0"/>
    <n v="2"/>
    <n v="2"/>
    <n v="0"/>
    <n v="0"/>
    <n v="0"/>
    <n v="0"/>
    <d v="2019-07-10T00:00:00"/>
    <s v="مدينة"/>
    <s v="خيم "/>
    <m/>
    <s v="لا يوجد "/>
    <m/>
    <m/>
    <m/>
    <m/>
    <m/>
    <m/>
    <m/>
    <m/>
    <m/>
    <n v="808631041"/>
    <s v="3ee1034e-f1dd-4c94-98d5-d7ad4bbbe1b3"/>
    <d v="2026-07-12T06:59:30"/>
    <m/>
    <m/>
    <s v="submitted_via_web"/>
    <s v="saifeldein811"/>
    <s v="va233myFGgDYnMJ5K2mWNL"/>
    <m/>
    <s v="uuid:3ee1034e-f1dd-4c94-98d5-d7ad4bbbe1b3"/>
    <n v="39"/>
  </r>
  <r>
    <d v="2026-07-10T21:56:51"/>
    <d v="2026-07-10T21:58:27"/>
    <x v="8"/>
    <d v="2026-07-10T00:00:00"/>
    <m/>
    <x v="0"/>
    <s v="النهضة "/>
    <s v="نعم"/>
    <s v="بشير حمد مقبول "/>
    <s v="ذكر"/>
    <n v="69"/>
    <s v="عقد زواج "/>
    <m/>
    <n v="29105"/>
    <n v="8"/>
    <n v="2"/>
    <n v="0"/>
    <n v="4"/>
    <n v="2"/>
    <n v="0"/>
    <n v="0"/>
    <n v="0"/>
    <n v="0"/>
    <d v="2026-07-09T00:00:00"/>
    <s v="خيم في مدينة او قرية "/>
    <s v="خيم "/>
    <m/>
    <s v="لا يوجد "/>
    <m/>
    <m/>
    <m/>
    <m/>
    <m/>
    <m/>
    <m/>
    <m/>
    <m/>
    <n v="808631046"/>
    <s v="49bd0b8b-ac0a-4057-97ff-210f32664687"/>
    <d v="2026-07-12T06:59:30"/>
    <m/>
    <m/>
    <s v="submitted_via_web"/>
    <s v="saifeldein811"/>
    <s v="va233myFGgDYnMJ5K2mWNL"/>
    <m/>
    <s v="uuid:49bd0b8b-ac0a-4057-97ff-210f32664687"/>
    <n v="40"/>
  </r>
  <r>
    <d v="2026-07-10T21:58:32"/>
    <d v="2026-07-10T21:59:49"/>
    <x v="8"/>
    <d v="2026-07-10T00:00:00"/>
    <m/>
    <x v="0"/>
    <s v="النصر شرق"/>
    <s v="نعم"/>
    <s v="بكري السيد عبدالقادر "/>
    <s v="ذكر"/>
    <n v="70"/>
    <s v="دفتر عائلة "/>
    <m/>
    <n v="47580"/>
    <n v="10"/>
    <n v="0"/>
    <n v="0"/>
    <n v="4"/>
    <n v="0"/>
    <n v="4"/>
    <n v="2"/>
    <n v="0"/>
    <n v="0"/>
    <d v="2026-07-03T00:00:00"/>
    <s v="مخيم"/>
    <s v="مبنى كامل "/>
    <m/>
    <s v="لا يوجد "/>
    <m/>
    <m/>
    <m/>
    <m/>
    <m/>
    <m/>
    <m/>
    <m/>
    <m/>
    <n v="808631053"/>
    <s v="e563e399-a5d2-4844-9767-490cb491094a"/>
    <d v="2026-07-12T06:59:32"/>
    <m/>
    <m/>
    <s v="submitted_via_web"/>
    <s v="saifeldein811"/>
    <s v="va233myFGgDYnMJ5K2mWNL"/>
    <m/>
    <s v="uuid:e563e399-a5d2-4844-9767-490cb491094a"/>
    <n v="41"/>
  </r>
  <r>
    <d v="2026-07-10T21:59:57"/>
    <d v="2026-07-10T22:01:08"/>
    <x v="8"/>
    <d v="2026-07-10T00:00:00"/>
    <m/>
    <x v="0"/>
    <s v="النصر غرب "/>
    <s v="نعم"/>
    <s v="نصر الدين احمد محمد "/>
    <s v="ذكر"/>
    <n v="45"/>
    <s v="غير ذلك حدد"/>
    <s v="جواز سفر "/>
    <n v="36521"/>
    <n v="8"/>
    <n v="2"/>
    <n v="0"/>
    <n v="2"/>
    <n v="2"/>
    <n v="2"/>
    <n v="0"/>
    <n v="0"/>
    <n v="0"/>
    <d v="2024-07-10T00:00:00"/>
    <s v="مخيم"/>
    <s v="خيم "/>
    <m/>
    <s v="لا يوجد "/>
    <m/>
    <m/>
    <m/>
    <m/>
    <m/>
    <m/>
    <m/>
    <m/>
    <m/>
    <n v="808631061"/>
    <s v="5e6b2574-0cc8-4dcd-a43c-edc1c67d9f73"/>
    <d v="2026-07-12T06:59:33"/>
    <m/>
    <m/>
    <s v="submitted_via_web"/>
    <s v="saifeldein811"/>
    <s v="va233myFGgDYnMJ5K2mWNL"/>
    <m/>
    <s v="uuid:5e6b2574-0cc8-4dcd-a43c-edc1c67d9f73"/>
    <n v="42"/>
  </r>
  <r>
    <d v="2026-07-10T22:01:11"/>
    <d v="2026-07-10T22:02:22"/>
    <x v="8"/>
    <d v="2026-07-10T00:00:00"/>
    <m/>
    <x v="0"/>
    <s v="المطار"/>
    <s v="نعم"/>
    <s v="خليفة حمد النيل "/>
    <s v="ذكر"/>
    <n v="30"/>
    <s v="عقد زواج "/>
    <m/>
    <n v="6402"/>
    <n v="5"/>
    <n v="0"/>
    <n v="2"/>
    <n v="0"/>
    <n v="2"/>
    <n v="1"/>
    <n v="0"/>
    <n v="0"/>
    <n v="0"/>
    <d v="2026-07-06T00:00:00"/>
    <s v="قرية"/>
    <s v="خيم "/>
    <m/>
    <s v="لا يوجد "/>
    <m/>
    <m/>
    <m/>
    <m/>
    <m/>
    <m/>
    <m/>
    <m/>
    <m/>
    <n v="808631068"/>
    <s v="b22ae36f-6cf3-4011-b84b-1fc311fe34c7"/>
    <d v="2026-07-12T06:59:34"/>
    <m/>
    <m/>
    <s v="submitted_via_web"/>
    <s v="saifeldein811"/>
    <s v="va233myFGgDYnMJ5K2mWNL"/>
    <m/>
    <s v="uuid:b22ae36f-6cf3-4011-b84b-1fc311fe34c7"/>
    <n v="43"/>
  </r>
  <r>
    <d v="2026-07-10T22:20:12"/>
    <d v="2026-07-10T22:21:32"/>
    <x v="9"/>
    <d v="2026-07-10T00:00:00"/>
    <m/>
    <x v="1"/>
    <s v="الجنوبي"/>
    <s v="نعم"/>
    <s v="ياسر محمد صالح "/>
    <s v="ذكر"/>
    <n v="36"/>
    <s v="عقد زواج "/>
    <m/>
    <n v="25364"/>
    <n v="8"/>
    <n v="2"/>
    <n v="0"/>
    <n v="4"/>
    <n v="2"/>
    <n v="0"/>
    <n v="0"/>
    <n v="0"/>
    <n v="0"/>
    <d v="2026-07-01T00:00:00"/>
    <s v="مدينة"/>
    <s v="مبنى غير مكتمل "/>
    <m/>
    <s v="لا يوجد "/>
    <m/>
    <m/>
    <m/>
    <m/>
    <m/>
    <m/>
    <m/>
    <m/>
    <m/>
    <n v="808631070"/>
    <s v="c3d66b57-fbdf-41cd-8442-892f8ca48fee"/>
    <d v="2026-07-12T06:59:34"/>
    <m/>
    <m/>
    <s v="submitted_via_web"/>
    <s v="saifeldein811"/>
    <s v="va233myFGgDYnMJ5K2mWNL"/>
    <m/>
    <s v="uuid:c3d66b57-fbdf-41cd-8442-892f8ca48fee"/>
    <n v="44"/>
  </r>
  <r>
    <d v="2026-07-10T22:21:39"/>
    <d v="2026-07-10T22:22:43"/>
    <x v="9"/>
    <d v="2026-07-10T00:00:00"/>
    <m/>
    <x v="1"/>
    <s v="عروسة"/>
    <s v="نعم"/>
    <s v="عبدالله عبدالرحمن شمس الدين "/>
    <s v="ذكر"/>
    <n v="69"/>
    <s v="غير ذلك حدد"/>
    <s v="جواز سفر "/>
    <n v="25698"/>
    <n v="5"/>
    <n v="0"/>
    <n v="0"/>
    <n v="3"/>
    <n v="2"/>
    <n v="0"/>
    <n v="0"/>
    <n v="0"/>
    <n v="0"/>
    <d v="2026-07-04T00:00:00"/>
    <s v="مخيم"/>
    <s v="خيم "/>
    <m/>
    <s v="لا يوجد "/>
    <m/>
    <m/>
    <m/>
    <m/>
    <m/>
    <m/>
    <m/>
    <m/>
    <m/>
    <n v="808631073"/>
    <s v="69ac8ffb-5cf9-433a-8579-91bfec9b2b42"/>
    <d v="2026-07-12T06:59:35"/>
    <m/>
    <m/>
    <s v="submitted_via_web"/>
    <s v="saifeldein811"/>
    <s v="va233myFGgDYnMJ5K2mWNL"/>
    <m/>
    <s v="uuid:69ac8ffb-5cf9-433a-8579-91bfec9b2b42"/>
    <n v="45"/>
  </r>
  <r>
    <d v="2026-07-10T22:23:08"/>
    <d v="2026-07-10T22:24:03"/>
    <x v="9"/>
    <d v="2026-07-10T00:00:00"/>
    <m/>
    <x v="1"/>
    <s v="الغربي"/>
    <s v="نعم"/>
    <s v="خليل جبران خليل "/>
    <s v="ذكر"/>
    <n v="35"/>
    <s v="دفتر عائلة "/>
    <m/>
    <n v="46028"/>
    <n v="9"/>
    <n v="2"/>
    <n v="0"/>
    <n v="4"/>
    <n v="2"/>
    <n v="1"/>
    <n v="0"/>
    <n v="0"/>
    <n v="0"/>
    <d v="2026-07-04T00:00:00"/>
    <s v="قرية"/>
    <s v="مبنى غير مكتمل "/>
    <m/>
    <s v="لا يوجد "/>
    <m/>
    <m/>
    <m/>
    <m/>
    <m/>
    <m/>
    <m/>
    <m/>
    <m/>
    <n v="808631083"/>
    <s v="6035dcae-8da4-49e4-be01-1d39b12a0d61"/>
    <d v="2026-07-12T06:59:37"/>
    <m/>
    <m/>
    <s v="submitted_via_web"/>
    <s v="saifeldein811"/>
    <s v="va233myFGgDYnMJ5K2mWNL"/>
    <m/>
    <s v="uuid:6035dcae-8da4-49e4-be01-1d39b12a0d61"/>
    <n v="47"/>
  </r>
  <r>
    <d v="2026-07-10T22:24:17"/>
    <d v="2026-07-10T22:25:12"/>
    <x v="9"/>
    <d v="2026-07-10T00:00:00"/>
    <m/>
    <x v="1"/>
    <s v="الغربي"/>
    <s v="نعم"/>
    <s v="حسناء حمد النيل "/>
    <s v="انثى"/>
    <n v="35"/>
    <s v="عقد زواج "/>
    <m/>
    <n v="25690"/>
    <n v="6"/>
    <n v="2"/>
    <n v="0"/>
    <n v="2"/>
    <n v="2"/>
    <n v="0"/>
    <n v="0"/>
    <n v="0"/>
    <n v="0"/>
    <d v="2026-04-02T00:00:00"/>
    <s v="مخيم"/>
    <s v="مبنى غير مكتمل "/>
    <m/>
    <s v="لا يوجد "/>
    <m/>
    <m/>
    <m/>
    <m/>
    <m/>
    <m/>
    <m/>
    <m/>
    <m/>
    <n v="808631089"/>
    <s v="b0ab2f62-042b-4dd2-a2c4-a7580853c0ee"/>
    <d v="2026-07-12T06:59:38"/>
    <m/>
    <m/>
    <s v="submitted_via_web"/>
    <s v="saifeldein811"/>
    <s v="va233myFGgDYnMJ5K2mWNL"/>
    <m/>
    <s v="uuid:b0ab2f62-042b-4dd2-a2c4-a7580853c0ee"/>
    <n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1" firstDataRow="1" firstDataCol="0"/>
  <pivotFields count="48">
    <pivotField numFmtId="164" showAll="0"/>
    <pivotField numFmtId="164" showAll="0"/>
    <pivotField showAll="0">
      <items count="11">
        <item x="6"/>
        <item x="5"/>
        <item x="0"/>
        <item x="3"/>
        <item x="4"/>
        <item x="1"/>
        <item x="2"/>
        <item x="7"/>
        <item x="8"/>
        <item x="9"/>
        <item t="default"/>
      </items>
    </pivotField>
    <pivotField numFmtId="164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2:AV43" totalsRowShown="0">
  <autoFilter ref="A2:AV43"/>
  <sortState ref="A2:AV42">
    <sortCondition ref="AV1:AV42"/>
  </sortState>
  <tableColumns count="48">
    <tableColumn id="1" name="start" dataDxfId="8"/>
    <tableColumn id="2" name="end" dataDxfId="7"/>
    <tableColumn id="3" name="اسم جامع البيانات ؟"/>
    <tableColumn id="4" name="تاريخ جمع الاستبيان " dataDxfId="6"/>
    <tableColumn id="5" name="المحافظة "/>
    <tableColumn id="49" name="المنطقة" dataDxfId="5"/>
    <tableColumn id="8" name="هل توافق على اجراء هذا الاستبيان ؟"/>
    <tableColumn id="9" name="الاسم الثلاثي لرب الاسرة "/>
    <tableColumn id="10" name="جنس معيل الاسرة "/>
    <tableColumn id="11" name="عمر معيل الاسرة " dataDxfId="4"/>
    <tableColumn id="12" name="نوع الوثيقة "/>
    <tableColumn id="13" name="غير ذلك "/>
    <tableColumn id="14" name="رقم الوثيقة "/>
    <tableColumn id="50" name="Column3" dataDxfId="1">
      <calculatedColumnFormula>SUM(Table1[[#This Row],[عدد الاناث تحت سنتين ]:[ذكورمن 60 فما فوق ]])</calculatedColumnFormula>
    </tableColumn>
    <tableColumn id="15" name="عدد افراد الاسرة "/>
    <tableColumn id="16" name="عدد الاناث تحت سنتين "/>
    <tableColumn id="17" name="عدد الذكور تحت سنتين "/>
    <tableColumn id="18" name="اناث من 2 الى 18 "/>
    <tableColumn id="19" name="ذكورمن 2 الى 18 "/>
    <tableColumn id="20" name="اناث من 19 الى 59"/>
    <tableColumn id="21" name="ذكور من 19 الى 59"/>
    <tableColumn id="22" name="اناث من 60 فما فوق "/>
    <tableColumn id="23" name="ذكورمن 60 فما فوق "/>
    <tableColumn id="24" name="تاريخ نزوح اسرتك " dataDxfId="3"/>
    <tableColumn id="25" name="حدد مكان وصولك عند النزوح "/>
    <tableColumn id="26" name="ما هو نوع المسكن "/>
    <tableColumn id="27" name="غير ذلك 3"/>
    <tableColumn id="28" name="ملاحظات عن جمع البيانات "/>
    <tableColumn id="29" name="حدد مكان جمع البيانات "/>
    <tableColumn id="30" name="_حدد مكان جمع البيانات _latitude"/>
    <tableColumn id="31" name="_حدد مكان جمع البيانات _longitude"/>
    <tableColumn id="32" name="_حدد مكان جمع البيانات _altitude"/>
    <tableColumn id="33" name="_حدد مكان جمع البيانات _precision"/>
    <tableColumn id="34" name="الاسم الثلاثي لرب الاسرة 4"/>
    <tableColumn id="35" name="الاسم الثلاثي لرب الاسرة 5"/>
    <tableColumn id="36" name="عمر معيل الاسرة 6"/>
    <tableColumn id="37" name="غير ذلك حدد"/>
    <tableColumn id="38" name="_id"/>
    <tableColumn id="39" name="_uuid"/>
    <tableColumn id="40" name="_submission_time" dataDxfId="2"/>
    <tableColumn id="41" name="_validation_status"/>
    <tableColumn id="42" name="_notes"/>
    <tableColumn id="43" name="_status"/>
    <tableColumn id="44" name="_submitted_by"/>
    <tableColumn id="45" name="__version__"/>
    <tableColumn id="46" name="_tags"/>
    <tableColumn id="47" name="meta/rootUuid"/>
    <tableColumn id="48" name="_index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V49"/>
  <sheetViews>
    <sheetView workbookViewId="0"/>
  </sheetViews>
  <sheetFormatPr defaultRowHeight="14.5" x14ac:dyDescent="0.35"/>
  <sheetData>
    <row r="1" spans="1:4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11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7</v>
      </c>
      <c r="AI1" t="s">
        <v>7</v>
      </c>
      <c r="AJ1" t="s">
        <v>9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</row>
    <row r="2" spans="1:48" x14ac:dyDescent="0.35">
      <c r="A2" s="1">
        <v>46212.854239525463</v>
      </c>
      <c r="B2" s="1">
        <v>46212.855476064811</v>
      </c>
      <c r="C2" t="s">
        <v>43</v>
      </c>
      <c r="D2" s="1">
        <v>46212</v>
      </c>
      <c r="E2" t="s">
        <v>44</v>
      </c>
      <c r="F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N2" t="s">
        <v>51</v>
      </c>
      <c r="O2">
        <v>10</v>
      </c>
      <c r="P2">
        <v>2</v>
      </c>
      <c r="Q2">
        <v>2</v>
      </c>
      <c r="R2">
        <v>2</v>
      </c>
      <c r="S2">
        <v>2</v>
      </c>
      <c r="T2">
        <v>1</v>
      </c>
      <c r="U2">
        <v>1</v>
      </c>
      <c r="V2">
        <v>0</v>
      </c>
      <c r="W2">
        <v>0</v>
      </c>
      <c r="X2" s="1">
        <v>43655</v>
      </c>
      <c r="Y2" t="s">
        <v>52</v>
      </c>
      <c r="Z2" t="s">
        <v>53</v>
      </c>
      <c r="AB2" t="s">
        <v>54</v>
      </c>
      <c r="AL2">
        <v>808630840</v>
      </c>
      <c r="AM2" t="s">
        <v>55</v>
      </c>
      <c r="AN2" s="1">
        <v>46215.291030092587</v>
      </c>
      <c r="AQ2" t="s">
        <v>56</v>
      </c>
      <c r="AR2" t="s">
        <v>57</v>
      </c>
      <c r="AS2" t="s">
        <v>58</v>
      </c>
      <c r="AU2" t="s">
        <v>59</v>
      </c>
      <c r="AV2">
        <v>1</v>
      </c>
    </row>
    <row r="3" spans="1:48" x14ac:dyDescent="0.35">
      <c r="A3" s="1">
        <v>46212.855694432867</v>
      </c>
      <c r="B3" s="1">
        <v>46212.856868668983</v>
      </c>
      <c r="C3" t="s">
        <v>43</v>
      </c>
      <c r="D3" s="1">
        <v>46212</v>
      </c>
      <c r="E3" t="s">
        <v>44</v>
      </c>
      <c r="F3" t="s">
        <v>45</v>
      </c>
      <c r="H3" t="s">
        <v>46</v>
      </c>
      <c r="I3" t="s">
        <v>60</v>
      </c>
      <c r="J3" t="s">
        <v>48</v>
      </c>
      <c r="K3" t="s">
        <v>61</v>
      </c>
      <c r="L3" t="s">
        <v>62</v>
      </c>
      <c r="N3" t="s">
        <v>63</v>
      </c>
      <c r="O3">
        <v>5</v>
      </c>
      <c r="P3">
        <v>2</v>
      </c>
      <c r="Q3">
        <v>0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 s="1">
        <v>45116</v>
      </c>
      <c r="Y3" t="s">
        <v>52</v>
      </c>
      <c r="Z3" t="s">
        <v>64</v>
      </c>
      <c r="AB3" t="s">
        <v>65</v>
      </c>
      <c r="AL3">
        <v>808630848</v>
      </c>
      <c r="AM3" t="s">
        <v>66</v>
      </c>
      <c r="AN3" s="1">
        <v>46215.291030092587</v>
      </c>
      <c r="AQ3" t="s">
        <v>56</v>
      </c>
      <c r="AR3" t="s">
        <v>57</v>
      </c>
      <c r="AS3" t="s">
        <v>58</v>
      </c>
      <c r="AU3" t="s">
        <v>67</v>
      </c>
      <c r="AV3">
        <v>2</v>
      </c>
    </row>
    <row r="4" spans="1:48" x14ac:dyDescent="0.35">
      <c r="A4" s="1">
        <v>46212.85697267361</v>
      </c>
      <c r="B4" s="1">
        <v>46212.857986770832</v>
      </c>
      <c r="C4" t="s">
        <v>43</v>
      </c>
      <c r="D4" s="1">
        <v>46212</v>
      </c>
      <c r="E4" t="s">
        <v>44</v>
      </c>
      <c r="F4" t="s">
        <v>68</v>
      </c>
      <c r="H4" t="s">
        <v>46</v>
      </c>
      <c r="I4" t="s">
        <v>69</v>
      </c>
      <c r="J4" t="s">
        <v>48</v>
      </c>
      <c r="K4" t="s">
        <v>70</v>
      </c>
      <c r="L4" t="s">
        <v>71</v>
      </c>
      <c r="N4" t="s">
        <v>72</v>
      </c>
      <c r="O4">
        <v>8</v>
      </c>
      <c r="P4">
        <v>1</v>
      </c>
      <c r="Q4">
        <v>1</v>
      </c>
      <c r="R4">
        <v>2</v>
      </c>
      <c r="S4">
        <v>2</v>
      </c>
      <c r="T4">
        <v>1</v>
      </c>
      <c r="U4">
        <v>1</v>
      </c>
      <c r="V4">
        <v>0</v>
      </c>
      <c r="W4">
        <v>0</v>
      </c>
      <c r="X4" s="1">
        <v>45847</v>
      </c>
      <c r="Y4" t="s">
        <v>73</v>
      </c>
      <c r="Z4" t="s">
        <v>74</v>
      </c>
      <c r="AB4" t="s">
        <v>54</v>
      </c>
      <c r="AL4">
        <v>808630854</v>
      </c>
      <c r="AM4" t="s">
        <v>75</v>
      </c>
      <c r="AN4" s="1">
        <v>46215.291041666656</v>
      </c>
      <c r="AQ4" t="s">
        <v>56</v>
      </c>
      <c r="AR4" t="s">
        <v>57</v>
      </c>
      <c r="AS4" t="s">
        <v>58</v>
      </c>
      <c r="AU4" t="s">
        <v>76</v>
      </c>
      <c r="AV4">
        <v>3</v>
      </c>
    </row>
    <row r="5" spans="1:48" x14ac:dyDescent="0.35">
      <c r="A5" s="1">
        <v>46212.858131458343</v>
      </c>
      <c r="B5" s="1">
        <v>46212.859280092591</v>
      </c>
      <c r="C5" t="s">
        <v>77</v>
      </c>
      <c r="D5" s="1">
        <v>46212</v>
      </c>
      <c r="E5" t="s">
        <v>78</v>
      </c>
      <c r="G5" t="s">
        <v>79</v>
      </c>
      <c r="H5" t="s">
        <v>46</v>
      </c>
      <c r="I5" t="s">
        <v>80</v>
      </c>
      <c r="J5" t="s">
        <v>48</v>
      </c>
      <c r="K5" t="s">
        <v>81</v>
      </c>
      <c r="L5" t="s">
        <v>62</v>
      </c>
      <c r="N5" t="s">
        <v>82</v>
      </c>
      <c r="O5">
        <v>10</v>
      </c>
      <c r="P5">
        <v>4</v>
      </c>
      <c r="Q5">
        <v>4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 s="1">
        <v>45482</v>
      </c>
      <c r="Y5" t="s">
        <v>83</v>
      </c>
      <c r="Z5" t="s">
        <v>74</v>
      </c>
      <c r="AB5" t="s">
        <v>54</v>
      </c>
      <c r="AL5">
        <v>808630860</v>
      </c>
      <c r="AM5" t="s">
        <v>84</v>
      </c>
      <c r="AN5" s="1">
        <v>46215.291041666656</v>
      </c>
      <c r="AQ5" t="s">
        <v>56</v>
      </c>
      <c r="AR5" t="s">
        <v>57</v>
      </c>
      <c r="AS5" t="s">
        <v>58</v>
      </c>
      <c r="AU5" t="s">
        <v>85</v>
      </c>
      <c r="AV5">
        <v>4</v>
      </c>
    </row>
    <row r="6" spans="1:48" x14ac:dyDescent="0.35">
      <c r="A6" s="1">
        <v>46212.859421886576</v>
      </c>
      <c r="B6" s="1">
        <v>46212.860798055553</v>
      </c>
      <c r="C6" t="s">
        <v>77</v>
      </c>
      <c r="D6" s="1">
        <v>46212</v>
      </c>
      <c r="E6" t="s">
        <v>78</v>
      </c>
      <c r="G6" t="s">
        <v>86</v>
      </c>
      <c r="H6" t="s">
        <v>46</v>
      </c>
      <c r="I6" t="s">
        <v>87</v>
      </c>
      <c r="J6" t="s">
        <v>48</v>
      </c>
      <c r="K6" t="s">
        <v>88</v>
      </c>
      <c r="L6" t="s">
        <v>31</v>
      </c>
      <c r="M6" t="s">
        <v>89</v>
      </c>
      <c r="N6" t="s">
        <v>90</v>
      </c>
      <c r="O6">
        <v>7</v>
      </c>
      <c r="P6">
        <v>0</v>
      </c>
      <c r="Q6">
        <v>0</v>
      </c>
      <c r="R6">
        <v>2</v>
      </c>
      <c r="S6">
        <v>2</v>
      </c>
      <c r="T6">
        <v>3</v>
      </c>
      <c r="U6">
        <v>0</v>
      </c>
      <c r="V6">
        <v>0</v>
      </c>
      <c r="W6">
        <v>0</v>
      </c>
      <c r="X6" s="1">
        <v>43290</v>
      </c>
      <c r="Y6" t="s">
        <v>73</v>
      </c>
      <c r="Z6" t="s">
        <v>64</v>
      </c>
      <c r="AB6" t="s">
        <v>54</v>
      </c>
      <c r="AL6">
        <v>808630865</v>
      </c>
      <c r="AM6" t="s">
        <v>91</v>
      </c>
      <c r="AN6" s="1">
        <v>46215.29105324074</v>
      </c>
      <c r="AQ6" t="s">
        <v>56</v>
      </c>
      <c r="AR6" t="s">
        <v>57</v>
      </c>
      <c r="AS6" t="s">
        <v>58</v>
      </c>
      <c r="AU6" t="s">
        <v>92</v>
      </c>
      <c r="AV6">
        <v>5</v>
      </c>
    </row>
    <row r="7" spans="1:48" x14ac:dyDescent="0.35">
      <c r="A7" s="1">
        <v>46212.86087704861</v>
      </c>
      <c r="B7" s="1">
        <v>46212.861639976851</v>
      </c>
      <c r="C7" t="s">
        <v>43</v>
      </c>
      <c r="D7" s="1">
        <v>46212</v>
      </c>
      <c r="E7" t="s">
        <v>44</v>
      </c>
      <c r="F7" t="s">
        <v>93</v>
      </c>
      <c r="H7" t="s">
        <v>94</v>
      </c>
      <c r="AB7" t="s">
        <v>54</v>
      </c>
      <c r="AL7">
        <v>808630873</v>
      </c>
      <c r="AM7" t="s">
        <v>95</v>
      </c>
      <c r="AN7" s="1">
        <v>46215.291064814817</v>
      </c>
      <c r="AQ7" t="s">
        <v>56</v>
      </c>
      <c r="AR7" t="s">
        <v>57</v>
      </c>
      <c r="AS7" t="s">
        <v>58</v>
      </c>
      <c r="AU7" t="s">
        <v>96</v>
      </c>
      <c r="AV7">
        <v>6</v>
      </c>
    </row>
    <row r="8" spans="1:48" x14ac:dyDescent="0.35">
      <c r="A8" s="1">
        <v>46212.86282234954</v>
      </c>
      <c r="B8" s="1">
        <v>46212.863838379628</v>
      </c>
      <c r="C8" t="s">
        <v>97</v>
      </c>
      <c r="D8" s="1">
        <v>46212</v>
      </c>
      <c r="E8" t="s">
        <v>78</v>
      </c>
      <c r="G8" t="s">
        <v>98</v>
      </c>
      <c r="H8" t="s">
        <v>46</v>
      </c>
      <c r="I8" t="s">
        <v>99</v>
      </c>
      <c r="J8" t="s">
        <v>48</v>
      </c>
      <c r="K8" t="s">
        <v>100</v>
      </c>
      <c r="L8" t="s">
        <v>31</v>
      </c>
      <c r="M8" t="s">
        <v>101</v>
      </c>
      <c r="N8" t="s">
        <v>102</v>
      </c>
      <c r="O8">
        <v>8</v>
      </c>
      <c r="P8">
        <v>1</v>
      </c>
      <c r="Q8">
        <v>0</v>
      </c>
      <c r="R8">
        <v>1</v>
      </c>
      <c r="S8">
        <v>2</v>
      </c>
      <c r="T8">
        <v>2</v>
      </c>
      <c r="U8">
        <v>2</v>
      </c>
      <c r="V8">
        <v>0</v>
      </c>
      <c r="W8">
        <v>0</v>
      </c>
      <c r="X8" s="1">
        <v>46153</v>
      </c>
      <c r="Y8" t="s">
        <v>103</v>
      </c>
      <c r="Z8" t="s">
        <v>64</v>
      </c>
      <c r="AB8" t="s">
        <v>54</v>
      </c>
      <c r="AL8">
        <v>808630884</v>
      </c>
      <c r="AM8" t="s">
        <v>104</v>
      </c>
      <c r="AN8" s="1">
        <v>46215.291076388887</v>
      </c>
      <c r="AQ8" t="s">
        <v>56</v>
      </c>
      <c r="AR8" t="s">
        <v>57</v>
      </c>
      <c r="AS8" t="s">
        <v>58</v>
      </c>
      <c r="AU8" t="s">
        <v>105</v>
      </c>
      <c r="AV8">
        <v>7</v>
      </c>
    </row>
    <row r="9" spans="1:48" x14ac:dyDescent="0.35">
      <c r="A9" s="1">
        <v>46212.863946736114</v>
      </c>
      <c r="B9" s="1">
        <v>46212.865011111113</v>
      </c>
      <c r="C9" t="s">
        <v>106</v>
      </c>
      <c r="D9" s="1">
        <v>46212</v>
      </c>
      <c r="E9" t="s">
        <v>78</v>
      </c>
      <c r="G9" t="s">
        <v>79</v>
      </c>
      <c r="H9" t="s">
        <v>46</v>
      </c>
      <c r="I9" t="s">
        <v>107</v>
      </c>
      <c r="J9" t="s">
        <v>48</v>
      </c>
      <c r="K9" t="s">
        <v>49</v>
      </c>
      <c r="L9" t="s">
        <v>50</v>
      </c>
      <c r="N9" t="s">
        <v>108</v>
      </c>
      <c r="O9">
        <v>9</v>
      </c>
      <c r="P9">
        <v>2</v>
      </c>
      <c r="Q9">
        <v>0</v>
      </c>
      <c r="R9">
        <v>2</v>
      </c>
      <c r="S9">
        <v>2</v>
      </c>
      <c r="T9">
        <v>3</v>
      </c>
      <c r="U9">
        <v>0</v>
      </c>
      <c r="V9">
        <v>0</v>
      </c>
      <c r="W9">
        <v>0</v>
      </c>
      <c r="X9" s="1">
        <v>44751</v>
      </c>
      <c r="Y9" t="s">
        <v>73</v>
      </c>
      <c r="Z9" t="s">
        <v>53</v>
      </c>
      <c r="AB9" t="s">
        <v>54</v>
      </c>
      <c r="AL9">
        <v>808630887</v>
      </c>
      <c r="AM9" t="s">
        <v>109</v>
      </c>
      <c r="AN9" s="1">
        <v>46215.291087962964</v>
      </c>
      <c r="AQ9" t="s">
        <v>56</v>
      </c>
      <c r="AR9" t="s">
        <v>57</v>
      </c>
      <c r="AS9" t="s">
        <v>58</v>
      </c>
      <c r="AU9" t="s">
        <v>110</v>
      </c>
      <c r="AV9">
        <v>8</v>
      </c>
    </row>
    <row r="10" spans="1:48" x14ac:dyDescent="0.35">
      <c r="A10" s="1">
        <v>46212.865076064823</v>
      </c>
      <c r="B10" s="1">
        <v>46212.866349074073</v>
      </c>
      <c r="C10" t="s">
        <v>106</v>
      </c>
      <c r="D10" s="1">
        <v>46212</v>
      </c>
      <c r="E10" t="s">
        <v>78</v>
      </c>
      <c r="G10" t="s">
        <v>111</v>
      </c>
      <c r="H10" t="s">
        <v>46</v>
      </c>
      <c r="I10" t="s">
        <v>112</v>
      </c>
      <c r="J10" t="s">
        <v>48</v>
      </c>
      <c r="K10" t="s">
        <v>113</v>
      </c>
      <c r="L10" t="s">
        <v>31</v>
      </c>
      <c r="M10" t="s">
        <v>89</v>
      </c>
      <c r="N10" t="s">
        <v>114</v>
      </c>
      <c r="O10">
        <v>5</v>
      </c>
      <c r="P10">
        <v>1</v>
      </c>
      <c r="Q10">
        <v>0</v>
      </c>
      <c r="R10">
        <v>2</v>
      </c>
      <c r="S10">
        <v>2</v>
      </c>
      <c r="T10">
        <v>0</v>
      </c>
      <c r="U10">
        <v>0</v>
      </c>
      <c r="V10">
        <v>0</v>
      </c>
      <c r="W10">
        <v>0</v>
      </c>
      <c r="X10" s="1">
        <v>45847</v>
      </c>
      <c r="Y10" t="s">
        <v>103</v>
      </c>
      <c r="Z10" t="s">
        <v>74</v>
      </c>
      <c r="AB10" t="s">
        <v>54</v>
      </c>
      <c r="AL10">
        <v>808630895</v>
      </c>
      <c r="AM10" t="s">
        <v>115</v>
      </c>
      <c r="AN10" s="1">
        <v>46215.29109953704</v>
      </c>
      <c r="AQ10" t="s">
        <v>56</v>
      </c>
      <c r="AR10" t="s">
        <v>57</v>
      </c>
      <c r="AS10" t="s">
        <v>58</v>
      </c>
      <c r="AU10" t="s">
        <v>116</v>
      </c>
      <c r="AV10">
        <v>9</v>
      </c>
    </row>
    <row r="11" spans="1:48" x14ac:dyDescent="0.35">
      <c r="A11" s="1">
        <v>46212.866607777767</v>
      </c>
      <c r="B11" s="1">
        <v>46212.867651122688</v>
      </c>
      <c r="C11" t="s">
        <v>106</v>
      </c>
      <c r="D11" s="1">
        <v>46212</v>
      </c>
      <c r="E11" t="s">
        <v>78</v>
      </c>
      <c r="G11" t="s">
        <v>117</v>
      </c>
      <c r="H11" t="s">
        <v>46</v>
      </c>
      <c r="I11" t="s">
        <v>118</v>
      </c>
      <c r="J11" t="s">
        <v>48</v>
      </c>
      <c r="K11" t="s">
        <v>119</v>
      </c>
      <c r="L11" t="s">
        <v>31</v>
      </c>
      <c r="M11" t="s">
        <v>89</v>
      </c>
      <c r="N11" t="s">
        <v>108</v>
      </c>
      <c r="O11">
        <v>9</v>
      </c>
      <c r="P11">
        <v>0</v>
      </c>
      <c r="Q11">
        <v>2</v>
      </c>
      <c r="R11">
        <v>1</v>
      </c>
      <c r="S11">
        <v>1</v>
      </c>
      <c r="T11">
        <v>2</v>
      </c>
      <c r="U11">
        <v>2</v>
      </c>
      <c r="V11">
        <v>0</v>
      </c>
      <c r="W11">
        <v>0</v>
      </c>
      <c r="X11" s="1">
        <v>46118</v>
      </c>
      <c r="Y11" t="s">
        <v>83</v>
      </c>
      <c r="Z11" t="s">
        <v>53</v>
      </c>
      <c r="AB11" t="s">
        <v>54</v>
      </c>
      <c r="AL11">
        <v>808630897</v>
      </c>
      <c r="AM11" t="s">
        <v>120</v>
      </c>
      <c r="AN11" s="1">
        <v>46215.29111111111</v>
      </c>
      <c r="AQ11" t="s">
        <v>56</v>
      </c>
      <c r="AR11" t="s">
        <v>57</v>
      </c>
      <c r="AS11" t="s">
        <v>58</v>
      </c>
      <c r="AU11" t="s">
        <v>121</v>
      </c>
      <c r="AV11">
        <v>10</v>
      </c>
    </row>
    <row r="12" spans="1:48" x14ac:dyDescent="0.35">
      <c r="A12" s="1">
        <v>46212.867785347233</v>
      </c>
      <c r="B12" s="1">
        <v>46212.870463749998</v>
      </c>
      <c r="C12" t="s">
        <v>106</v>
      </c>
      <c r="D12" s="1">
        <v>46212</v>
      </c>
      <c r="E12" t="s">
        <v>44</v>
      </c>
      <c r="F12" t="s">
        <v>122</v>
      </c>
      <c r="H12" t="s">
        <v>46</v>
      </c>
      <c r="I12" t="s">
        <v>123</v>
      </c>
      <c r="J12" t="s">
        <v>48</v>
      </c>
      <c r="K12" t="s">
        <v>124</v>
      </c>
      <c r="L12" t="s">
        <v>50</v>
      </c>
      <c r="N12" t="s">
        <v>125</v>
      </c>
      <c r="O12">
        <v>10</v>
      </c>
      <c r="P12">
        <v>2</v>
      </c>
      <c r="Q12">
        <v>0</v>
      </c>
      <c r="R12">
        <v>0</v>
      </c>
      <c r="S12">
        <v>3</v>
      </c>
      <c r="T12">
        <v>3</v>
      </c>
      <c r="U12">
        <v>2</v>
      </c>
      <c r="V12">
        <v>0</v>
      </c>
      <c r="W12">
        <v>0</v>
      </c>
      <c r="X12" s="1">
        <v>46216</v>
      </c>
      <c r="Y12" t="s">
        <v>52</v>
      </c>
      <c r="Z12" t="s">
        <v>53</v>
      </c>
      <c r="AB12" t="s">
        <v>54</v>
      </c>
      <c r="AL12">
        <v>808630905</v>
      </c>
      <c r="AM12" t="s">
        <v>126</v>
      </c>
      <c r="AN12" s="1">
        <v>46215.29111111111</v>
      </c>
      <c r="AQ12" t="s">
        <v>56</v>
      </c>
      <c r="AR12" t="s">
        <v>57</v>
      </c>
      <c r="AS12" t="s">
        <v>58</v>
      </c>
      <c r="AU12" t="s">
        <v>127</v>
      </c>
      <c r="AV12">
        <v>11</v>
      </c>
    </row>
    <row r="13" spans="1:48" x14ac:dyDescent="0.35">
      <c r="A13" s="1">
        <v>46212.871028564812</v>
      </c>
      <c r="B13" s="1">
        <v>46212.872003310193</v>
      </c>
      <c r="C13" t="s">
        <v>106</v>
      </c>
      <c r="D13" s="1">
        <v>46212</v>
      </c>
      <c r="E13" t="s">
        <v>78</v>
      </c>
      <c r="G13" t="s">
        <v>128</v>
      </c>
      <c r="H13" t="s">
        <v>46</v>
      </c>
      <c r="I13" t="s">
        <v>129</v>
      </c>
      <c r="J13" t="s">
        <v>48</v>
      </c>
      <c r="K13" t="s">
        <v>124</v>
      </c>
      <c r="L13" t="s">
        <v>62</v>
      </c>
      <c r="N13" t="s">
        <v>130</v>
      </c>
      <c r="O13">
        <v>6</v>
      </c>
      <c r="P13">
        <v>1</v>
      </c>
      <c r="Q13">
        <v>0</v>
      </c>
      <c r="R13">
        <v>2</v>
      </c>
      <c r="S13">
        <v>2</v>
      </c>
      <c r="T13">
        <v>0</v>
      </c>
      <c r="U13">
        <v>0</v>
      </c>
      <c r="V13">
        <v>0</v>
      </c>
      <c r="W13">
        <v>0</v>
      </c>
      <c r="X13" s="1">
        <v>42925</v>
      </c>
      <c r="Y13" t="s">
        <v>52</v>
      </c>
      <c r="Z13" t="s">
        <v>74</v>
      </c>
      <c r="AB13" t="s">
        <v>54</v>
      </c>
      <c r="AL13">
        <v>808630910</v>
      </c>
      <c r="AM13" t="s">
        <v>131</v>
      </c>
      <c r="AN13" s="1">
        <v>46215.291122685187</v>
      </c>
      <c r="AQ13" t="s">
        <v>56</v>
      </c>
      <c r="AR13" t="s">
        <v>57</v>
      </c>
      <c r="AS13" t="s">
        <v>58</v>
      </c>
      <c r="AU13" t="s">
        <v>132</v>
      </c>
      <c r="AV13">
        <v>12</v>
      </c>
    </row>
    <row r="14" spans="1:48" x14ac:dyDescent="0.35">
      <c r="A14" s="1">
        <v>46212.872248819447</v>
      </c>
      <c r="B14" s="1">
        <v>46212.873323715277</v>
      </c>
      <c r="C14" t="s">
        <v>133</v>
      </c>
      <c r="D14" s="1">
        <v>46212</v>
      </c>
      <c r="E14" t="s">
        <v>78</v>
      </c>
      <c r="G14" t="s">
        <v>134</v>
      </c>
      <c r="H14" t="s">
        <v>46</v>
      </c>
      <c r="I14" t="s">
        <v>135</v>
      </c>
      <c r="J14" t="s">
        <v>48</v>
      </c>
      <c r="K14" t="s">
        <v>119</v>
      </c>
      <c r="L14" t="s">
        <v>62</v>
      </c>
      <c r="N14" t="s">
        <v>136</v>
      </c>
      <c r="O14">
        <v>8</v>
      </c>
      <c r="P14">
        <v>2</v>
      </c>
      <c r="Q14">
        <v>0</v>
      </c>
      <c r="R14">
        <v>2</v>
      </c>
      <c r="S14">
        <v>2</v>
      </c>
      <c r="T14">
        <v>2</v>
      </c>
      <c r="U14">
        <v>0</v>
      </c>
      <c r="V14">
        <v>0</v>
      </c>
      <c r="W14">
        <v>0</v>
      </c>
      <c r="X14" s="1">
        <v>45116</v>
      </c>
      <c r="Y14" t="s">
        <v>103</v>
      </c>
      <c r="Z14" t="s">
        <v>53</v>
      </c>
      <c r="AB14" t="s">
        <v>54</v>
      </c>
      <c r="AL14">
        <v>808630915</v>
      </c>
      <c r="AM14" t="s">
        <v>137</v>
      </c>
      <c r="AN14" s="1">
        <v>46215.291122685187</v>
      </c>
      <c r="AQ14" t="s">
        <v>56</v>
      </c>
      <c r="AR14" t="s">
        <v>57</v>
      </c>
      <c r="AS14" t="s">
        <v>58</v>
      </c>
      <c r="AU14" t="s">
        <v>138</v>
      </c>
      <c r="AV14">
        <v>13</v>
      </c>
    </row>
    <row r="15" spans="1:48" x14ac:dyDescent="0.35">
      <c r="A15" s="1">
        <v>46212.873850543983</v>
      </c>
      <c r="B15" s="1">
        <v>46212.874120902779</v>
      </c>
      <c r="C15" t="s">
        <v>106</v>
      </c>
      <c r="D15" s="1">
        <v>46212</v>
      </c>
      <c r="E15" t="s">
        <v>78</v>
      </c>
      <c r="G15" t="s">
        <v>117</v>
      </c>
      <c r="H15" t="s">
        <v>94</v>
      </c>
      <c r="AB15" t="s">
        <v>54</v>
      </c>
      <c r="AL15">
        <v>808630918</v>
      </c>
      <c r="AM15" t="s">
        <v>139</v>
      </c>
      <c r="AN15" s="1">
        <v>46215.291134259263</v>
      </c>
      <c r="AQ15" t="s">
        <v>56</v>
      </c>
      <c r="AR15" t="s">
        <v>57</v>
      </c>
      <c r="AS15" t="s">
        <v>58</v>
      </c>
      <c r="AU15" t="s">
        <v>140</v>
      </c>
      <c r="AV15">
        <v>14</v>
      </c>
    </row>
    <row r="16" spans="1:48" x14ac:dyDescent="0.35">
      <c r="A16" s="1">
        <v>46213.530976782407</v>
      </c>
      <c r="B16" s="1">
        <v>46213.531899212961</v>
      </c>
      <c r="C16" t="s">
        <v>141</v>
      </c>
      <c r="D16" s="1">
        <v>46213</v>
      </c>
      <c r="E16" t="s">
        <v>44</v>
      </c>
      <c r="F16" t="s">
        <v>142</v>
      </c>
      <c r="H16" t="s">
        <v>46</v>
      </c>
      <c r="I16" t="s">
        <v>143</v>
      </c>
      <c r="J16" t="s">
        <v>48</v>
      </c>
      <c r="K16" t="s">
        <v>144</v>
      </c>
      <c r="L16" t="s">
        <v>50</v>
      </c>
      <c r="N16" t="s">
        <v>145</v>
      </c>
      <c r="O16">
        <v>10</v>
      </c>
      <c r="P16">
        <v>2</v>
      </c>
      <c r="Q16">
        <v>0</v>
      </c>
      <c r="R16">
        <v>2</v>
      </c>
      <c r="S16">
        <v>2</v>
      </c>
      <c r="T16">
        <v>2</v>
      </c>
      <c r="U16">
        <v>0</v>
      </c>
      <c r="V16">
        <v>0</v>
      </c>
      <c r="W16">
        <v>0</v>
      </c>
      <c r="X16" s="1">
        <v>46152</v>
      </c>
      <c r="Y16" t="s">
        <v>52</v>
      </c>
      <c r="Z16" t="s">
        <v>53</v>
      </c>
      <c r="AB16" t="s">
        <v>54</v>
      </c>
      <c r="AL16">
        <v>808630924</v>
      </c>
      <c r="AM16" t="s">
        <v>146</v>
      </c>
      <c r="AN16" s="1">
        <v>46215.291134259263</v>
      </c>
      <c r="AQ16" t="s">
        <v>56</v>
      </c>
      <c r="AR16" t="s">
        <v>57</v>
      </c>
      <c r="AS16" t="s">
        <v>58</v>
      </c>
      <c r="AU16" t="s">
        <v>147</v>
      </c>
      <c r="AV16">
        <v>15</v>
      </c>
    </row>
    <row r="17" spans="1:48" x14ac:dyDescent="0.35">
      <c r="A17" s="1">
        <v>46213.532129363433</v>
      </c>
      <c r="B17" s="1">
        <v>46213.533239444441</v>
      </c>
      <c r="C17" t="s">
        <v>148</v>
      </c>
      <c r="D17" s="1">
        <v>46213</v>
      </c>
      <c r="E17" t="s">
        <v>44</v>
      </c>
      <c r="F17" t="s">
        <v>149</v>
      </c>
      <c r="H17" t="s">
        <v>46</v>
      </c>
      <c r="I17" t="s">
        <v>150</v>
      </c>
      <c r="J17" t="s">
        <v>48</v>
      </c>
      <c r="K17" t="s">
        <v>151</v>
      </c>
      <c r="L17" t="s">
        <v>50</v>
      </c>
      <c r="N17" t="s">
        <v>152</v>
      </c>
      <c r="O17">
        <v>5</v>
      </c>
      <c r="P17">
        <v>1</v>
      </c>
      <c r="Q17">
        <v>0</v>
      </c>
      <c r="R17">
        <v>2</v>
      </c>
      <c r="S17">
        <v>2</v>
      </c>
      <c r="T17">
        <v>0</v>
      </c>
      <c r="U17">
        <v>0</v>
      </c>
      <c r="V17">
        <v>0</v>
      </c>
      <c r="W17">
        <v>0</v>
      </c>
      <c r="X17" s="1">
        <v>45483</v>
      </c>
      <c r="Y17" t="s">
        <v>83</v>
      </c>
      <c r="Z17" t="s">
        <v>64</v>
      </c>
      <c r="AB17" t="s">
        <v>54</v>
      </c>
      <c r="AL17">
        <v>808630929</v>
      </c>
      <c r="AM17" t="s">
        <v>153</v>
      </c>
      <c r="AN17" s="1">
        <v>46215.291145833333</v>
      </c>
      <c r="AQ17" t="s">
        <v>56</v>
      </c>
      <c r="AR17" t="s">
        <v>57</v>
      </c>
      <c r="AS17" t="s">
        <v>58</v>
      </c>
      <c r="AU17" t="s">
        <v>154</v>
      </c>
      <c r="AV17">
        <v>16</v>
      </c>
    </row>
    <row r="18" spans="1:48" x14ac:dyDescent="0.35">
      <c r="A18" s="1">
        <v>46213.533414108802</v>
      </c>
      <c r="B18" s="1">
        <v>46213.534663553241</v>
      </c>
      <c r="C18" t="s">
        <v>155</v>
      </c>
      <c r="D18" s="1">
        <v>46213</v>
      </c>
      <c r="E18" t="s">
        <v>44</v>
      </c>
      <c r="F18" t="s">
        <v>45</v>
      </c>
      <c r="H18" t="s">
        <v>46</v>
      </c>
      <c r="I18" t="s">
        <v>156</v>
      </c>
      <c r="J18" t="s">
        <v>157</v>
      </c>
      <c r="K18" t="s">
        <v>61</v>
      </c>
      <c r="L18" t="s">
        <v>62</v>
      </c>
      <c r="N18" t="s">
        <v>158</v>
      </c>
      <c r="O18">
        <v>10</v>
      </c>
      <c r="P18">
        <v>0</v>
      </c>
      <c r="Q18">
        <v>0</v>
      </c>
      <c r="R18">
        <v>3</v>
      </c>
      <c r="S18">
        <v>3</v>
      </c>
      <c r="T18">
        <v>2</v>
      </c>
      <c r="U18">
        <v>2</v>
      </c>
      <c r="V18">
        <v>0</v>
      </c>
      <c r="W18">
        <v>0</v>
      </c>
      <c r="X18" s="1">
        <v>44022</v>
      </c>
      <c r="Y18" t="s">
        <v>52</v>
      </c>
      <c r="Z18" t="s">
        <v>53</v>
      </c>
      <c r="AB18" t="s">
        <v>54</v>
      </c>
      <c r="AL18">
        <v>808630932</v>
      </c>
      <c r="AM18" t="s">
        <v>159</v>
      </c>
      <c r="AN18" s="1">
        <v>46215.291145833333</v>
      </c>
      <c r="AQ18" t="s">
        <v>56</v>
      </c>
      <c r="AR18" t="s">
        <v>57</v>
      </c>
      <c r="AS18" t="s">
        <v>58</v>
      </c>
      <c r="AU18" t="s">
        <v>160</v>
      </c>
      <c r="AV18">
        <v>17</v>
      </c>
    </row>
    <row r="19" spans="1:48" x14ac:dyDescent="0.35">
      <c r="A19" s="1">
        <v>46213.534766736113</v>
      </c>
      <c r="B19" s="1">
        <v>46213.536062199077</v>
      </c>
      <c r="C19" t="s">
        <v>141</v>
      </c>
      <c r="D19" s="1">
        <v>46213</v>
      </c>
      <c r="E19" t="s">
        <v>44</v>
      </c>
      <c r="F19" t="s">
        <v>161</v>
      </c>
      <c r="H19" t="s">
        <v>46</v>
      </c>
      <c r="I19" t="s">
        <v>162</v>
      </c>
      <c r="J19" t="s">
        <v>157</v>
      </c>
      <c r="K19" t="s">
        <v>113</v>
      </c>
      <c r="L19" t="s">
        <v>31</v>
      </c>
      <c r="M19" t="s">
        <v>89</v>
      </c>
      <c r="N19" t="s">
        <v>163</v>
      </c>
      <c r="O19">
        <v>5</v>
      </c>
      <c r="P19">
        <v>0</v>
      </c>
      <c r="Q19">
        <v>2</v>
      </c>
      <c r="R19">
        <v>3</v>
      </c>
      <c r="S19">
        <v>0</v>
      </c>
      <c r="T19">
        <v>0</v>
      </c>
      <c r="U19">
        <v>0</v>
      </c>
      <c r="V19">
        <v>0</v>
      </c>
      <c r="W19">
        <v>0</v>
      </c>
      <c r="X19" s="1">
        <v>45848</v>
      </c>
      <c r="Y19" t="s">
        <v>52</v>
      </c>
      <c r="Z19" t="s">
        <v>53</v>
      </c>
      <c r="AB19" t="s">
        <v>54</v>
      </c>
      <c r="AL19">
        <v>808630939</v>
      </c>
      <c r="AM19" t="s">
        <v>164</v>
      </c>
      <c r="AN19" s="1">
        <v>46215.29115740741</v>
      </c>
      <c r="AQ19" t="s">
        <v>56</v>
      </c>
      <c r="AR19" t="s">
        <v>57</v>
      </c>
      <c r="AS19" t="s">
        <v>58</v>
      </c>
      <c r="AU19" t="s">
        <v>165</v>
      </c>
      <c r="AV19">
        <v>18</v>
      </c>
    </row>
    <row r="20" spans="1:48" x14ac:dyDescent="0.35">
      <c r="A20" s="1">
        <v>46213.536125289349</v>
      </c>
      <c r="B20" s="1">
        <v>46213.537008715277</v>
      </c>
      <c r="C20" t="s">
        <v>141</v>
      </c>
      <c r="D20" s="1">
        <v>46213</v>
      </c>
      <c r="E20" t="s">
        <v>78</v>
      </c>
      <c r="G20" t="s">
        <v>134</v>
      </c>
      <c r="H20" t="s">
        <v>46</v>
      </c>
      <c r="I20" t="s">
        <v>166</v>
      </c>
      <c r="J20" t="s">
        <v>157</v>
      </c>
      <c r="K20" t="s">
        <v>88</v>
      </c>
      <c r="L20" t="s">
        <v>71</v>
      </c>
      <c r="N20" t="s">
        <v>167</v>
      </c>
      <c r="O20">
        <v>8</v>
      </c>
      <c r="P20">
        <v>2</v>
      </c>
      <c r="Q20">
        <v>0</v>
      </c>
      <c r="R20">
        <v>4</v>
      </c>
      <c r="S20">
        <v>4</v>
      </c>
      <c r="T20">
        <v>0</v>
      </c>
      <c r="U20">
        <v>0</v>
      </c>
      <c r="V20">
        <v>0</v>
      </c>
      <c r="W20">
        <v>0</v>
      </c>
      <c r="X20" s="1">
        <v>44387</v>
      </c>
      <c r="Y20" t="s">
        <v>103</v>
      </c>
      <c r="Z20" t="s">
        <v>53</v>
      </c>
      <c r="AB20" t="s">
        <v>54</v>
      </c>
      <c r="AL20">
        <v>808630943</v>
      </c>
      <c r="AM20" t="s">
        <v>168</v>
      </c>
      <c r="AN20" s="1">
        <v>46215.29115740741</v>
      </c>
      <c r="AQ20" t="s">
        <v>56</v>
      </c>
      <c r="AR20" t="s">
        <v>57</v>
      </c>
      <c r="AS20" t="s">
        <v>58</v>
      </c>
      <c r="AU20" t="s">
        <v>169</v>
      </c>
      <c r="AV20">
        <v>19</v>
      </c>
    </row>
    <row r="21" spans="1:48" x14ac:dyDescent="0.35">
      <c r="A21" s="1">
        <v>46213.605024884258</v>
      </c>
      <c r="B21" s="1">
        <v>46213.606584594912</v>
      </c>
      <c r="C21" t="s">
        <v>170</v>
      </c>
      <c r="D21" s="1">
        <v>46213</v>
      </c>
      <c r="E21" t="s">
        <v>78</v>
      </c>
      <c r="G21" t="s">
        <v>134</v>
      </c>
      <c r="H21" t="s">
        <v>46</v>
      </c>
      <c r="I21" t="s">
        <v>171</v>
      </c>
      <c r="J21" t="s">
        <v>48</v>
      </c>
      <c r="K21" t="s">
        <v>172</v>
      </c>
      <c r="L21" t="s">
        <v>50</v>
      </c>
      <c r="N21" t="s">
        <v>173</v>
      </c>
      <c r="O21">
        <v>12</v>
      </c>
      <c r="P21">
        <v>2</v>
      </c>
      <c r="Q21">
        <v>0</v>
      </c>
      <c r="R21">
        <v>4</v>
      </c>
      <c r="S21">
        <v>2</v>
      </c>
      <c r="T21">
        <v>2</v>
      </c>
      <c r="U21">
        <v>0</v>
      </c>
      <c r="V21">
        <v>0</v>
      </c>
      <c r="W21">
        <v>0</v>
      </c>
      <c r="X21" s="1">
        <v>44022</v>
      </c>
      <c r="Y21" t="s">
        <v>73</v>
      </c>
      <c r="Z21" t="s">
        <v>53</v>
      </c>
      <c r="AB21" t="s">
        <v>174</v>
      </c>
      <c r="AL21">
        <v>808630947</v>
      </c>
      <c r="AM21" t="s">
        <v>175</v>
      </c>
      <c r="AN21" s="1">
        <v>46215.291168981479</v>
      </c>
      <c r="AQ21" t="s">
        <v>56</v>
      </c>
      <c r="AR21" t="s">
        <v>57</v>
      </c>
      <c r="AS21" t="s">
        <v>58</v>
      </c>
      <c r="AU21" t="s">
        <v>176</v>
      </c>
      <c r="AV21">
        <v>20</v>
      </c>
    </row>
    <row r="22" spans="1:48" x14ac:dyDescent="0.35">
      <c r="A22" s="1">
        <v>46213.606634733798</v>
      </c>
      <c r="B22" s="1">
        <v>46213.607431539349</v>
      </c>
      <c r="C22" t="s">
        <v>170</v>
      </c>
      <c r="D22" s="1">
        <v>46213</v>
      </c>
      <c r="E22" t="s">
        <v>78</v>
      </c>
      <c r="G22" t="s">
        <v>134</v>
      </c>
      <c r="H22" t="s">
        <v>46</v>
      </c>
      <c r="I22" t="s">
        <v>177</v>
      </c>
      <c r="J22" t="s">
        <v>48</v>
      </c>
      <c r="K22" t="s">
        <v>178</v>
      </c>
      <c r="L22" t="s">
        <v>71</v>
      </c>
      <c r="N22" t="s">
        <v>179</v>
      </c>
      <c r="O22">
        <v>9</v>
      </c>
      <c r="P22">
        <v>0</v>
      </c>
      <c r="Q22">
        <v>2</v>
      </c>
      <c r="R22">
        <v>2</v>
      </c>
      <c r="S22">
        <v>2</v>
      </c>
      <c r="T22">
        <v>2</v>
      </c>
      <c r="U22">
        <v>0</v>
      </c>
      <c r="V22">
        <v>0</v>
      </c>
      <c r="W22">
        <v>0</v>
      </c>
      <c r="X22" s="1">
        <v>41830</v>
      </c>
      <c r="Y22" t="s">
        <v>103</v>
      </c>
      <c r="Z22" t="s">
        <v>64</v>
      </c>
      <c r="AB22" t="s">
        <v>54</v>
      </c>
      <c r="AL22">
        <v>808630952</v>
      </c>
      <c r="AM22" t="s">
        <v>180</v>
      </c>
      <c r="AN22" s="1">
        <v>46215.291168981479</v>
      </c>
      <c r="AQ22" t="s">
        <v>56</v>
      </c>
      <c r="AR22" t="s">
        <v>57</v>
      </c>
      <c r="AS22" t="s">
        <v>58</v>
      </c>
      <c r="AU22" t="s">
        <v>181</v>
      </c>
      <c r="AV22">
        <v>21</v>
      </c>
    </row>
    <row r="23" spans="1:48" x14ac:dyDescent="0.35">
      <c r="A23" s="1">
        <v>46213.607514930547</v>
      </c>
      <c r="B23" s="1">
        <v>46213.608315069447</v>
      </c>
      <c r="C23" t="s">
        <v>170</v>
      </c>
      <c r="D23" s="1">
        <v>46213</v>
      </c>
      <c r="E23" t="s">
        <v>78</v>
      </c>
      <c r="G23" t="s">
        <v>98</v>
      </c>
      <c r="H23" t="s">
        <v>46</v>
      </c>
      <c r="I23" t="s">
        <v>182</v>
      </c>
      <c r="J23" t="s">
        <v>48</v>
      </c>
      <c r="K23" t="s">
        <v>183</v>
      </c>
      <c r="L23" t="s">
        <v>50</v>
      </c>
      <c r="N23" t="s">
        <v>184</v>
      </c>
      <c r="O23">
        <v>5</v>
      </c>
      <c r="P23">
        <v>0</v>
      </c>
      <c r="Q23">
        <v>0</v>
      </c>
      <c r="R23">
        <v>2</v>
      </c>
      <c r="S23">
        <v>2</v>
      </c>
      <c r="T23">
        <v>2</v>
      </c>
      <c r="U23">
        <v>1</v>
      </c>
      <c r="V23">
        <v>0</v>
      </c>
      <c r="W23">
        <v>0</v>
      </c>
      <c r="X23" s="1">
        <v>46208</v>
      </c>
      <c r="Y23" t="s">
        <v>52</v>
      </c>
      <c r="Z23" t="s">
        <v>64</v>
      </c>
      <c r="AB23" t="s">
        <v>54</v>
      </c>
      <c r="AL23">
        <v>808630954</v>
      </c>
      <c r="AM23" t="s">
        <v>185</v>
      </c>
      <c r="AN23" s="1">
        <v>46215.291180555563</v>
      </c>
      <c r="AQ23" t="s">
        <v>56</v>
      </c>
      <c r="AR23" t="s">
        <v>57</v>
      </c>
      <c r="AS23" t="s">
        <v>58</v>
      </c>
      <c r="AU23" t="s">
        <v>186</v>
      </c>
      <c r="AV23">
        <v>22</v>
      </c>
    </row>
    <row r="24" spans="1:48" x14ac:dyDescent="0.35">
      <c r="A24" s="1">
        <v>46213.608439085649</v>
      </c>
      <c r="B24" s="1">
        <v>46213.609174699071</v>
      </c>
      <c r="C24" t="s">
        <v>170</v>
      </c>
      <c r="D24" s="1">
        <v>46213</v>
      </c>
      <c r="E24" t="s">
        <v>78</v>
      </c>
      <c r="G24" t="s">
        <v>117</v>
      </c>
      <c r="H24" t="s">
        <v>46</v>
      </c>
      <c r="I24" t="s">
        <v>187</v>
      </c>
      <c r="J24" t="s">
        <v>48</v>
      </c>
      <c r="K24" t="s">
        <v>49</v>
      </c>
      <c r="L24" t="s">
        <v>31</v>
      </c>
      <c r="M24" t="s">
        <v>89</v>
      </c>
      <c r="N24" t="s">
        <v>82</v>
      </c>
      <c r="O24">
        <v>8</v>
      </c>
      <c r="P24">
        <v>0</v>
      </c>
      <c r="Q24">
        <v>0</v>
      </c>
      <c r="R24">
        <v>4</v>
      </c>
      <c r="S24">
        <v>4</v>
      </c>
      <c r="T24">
        <v>0</v>
      </c>
      <c r="U24">
        <v>0</v>
      </c>
      <c r="V24">
        <v>0</v>
      </c>
      <c r="W24">
        <v>0</v>
      </c>
      <c r="X24" s="1">
        <v>44387</v>
      </c>
      <c r="Y24" t="s">
        <v>103</v>
      </c>
      <c r="Z24" t="s">
        <v>53</v>
      </c>
      <c r="AB24" t="s">
        <v>54</v>
      </c>
      <c r="AL24">
        <v>808630957</v>
      </c>
      <c r="AM24" t="s">
        <v>188</v>
      </c>
      <c r="AN24" s="1">
        <v>46215.291180555563</v>
      </c>
      <c r="AQ24" t="s">
        <v>56</v>
      </c>
      <c r="AR24" t="s">
        <v>57</v>
      </c>
      <c r="AS24" t="s">
        <v>58</v>
      </c>
      <c r="AU24" t="s">
        <v>189</v>
      </c>
      <c r="AV24">
        <v>23</v>
      </c>
    </row>
    <row r="25" spans="1:48" x14ac:dyDescent="0.35">
      <c r="A25" s="1">
        <v>46213.609222789353</v>
      </c>
      <c r="B25" s="1">
        <v>46213.610387488428</v>
      </c>
      <c r="C25" t="s">
        <v>170</v>
      </c>
      <c r="D25" s="1">
        <v>46213</v>
      </c>
      <c r="E25" t="s">
        <v>78</v>
      </c>
      <c r="G25" t="s">
        <v>128</v>
      </c>
      <c r="H25" t="s">
        <v>46</v>
      </c>
      <c r="I25" t="s">
        <v>190</v>
      </c>
      <c r="J25" t="s">
        <v>48</v>
      </c>
      <c r="K25" t="s">
        <v>191</v>
      </c>
      <c r="L25" t="s">
        <v>62</v>
      </c>
      <c r="N25" t="s">
        <v>192</v>
      </c>
      <c r="O25">
        <v>4</v>
      </c>
      <c r="P25">
        <v>0</v>
      </c>
      <c r="Q25">
        <v>0</v>
      </c>
      <c r="R25">
        <v>2</v>
      </c>
      <c r="S25">
        <v>2</v>
      </c>
      <c r="T25">
        <v>0</v>
      </c>
      <c r="U25">
        <v>0</v>
      </c>
      <c r="V25">
        <v>0</v>
      </c>
      <c r="W25">
        <v>0</v>
      </c>
      <c r="X25" s="1">
        <v>46205</v>
      </c>
      <c r="Y25" t="s">
        <v>52</v>
      </c>
      <c r="Z25" t="s">
        <v>64</v>
      </c>
      <c r="AB25" t="s">
        <v>54</v>
      </c>
      <c r="AL25">
        <v>808630959</v>
      </c>
      <c r="AM25" t="s">
        <v>193</v>
      </c>
      <c r="AN25" s="1">
        <v>46215.291192129633</v>
      </c>
      <c r="AQ25" t="s">
        <v>56</v>
      </c>
      <c r="AR25" t="s">
        <v>57</v>
      </c>
      <c r="AS25" t="s">
        <v>58</v>
      </c>
      <c r="AU25" t="s">
        <v>194</v>
      </c>
      <c r="AV25">
        <v>24</v>
      </c>
    </row>
    <row r="26" spans="1:48" x14ac:dyDescent="0.35">
      <c r="A26" s="1">
        <v>46213.610437870368</v>
      </c>
      <c r="B26" s="1">
        <v>46213.611361319447</v>
      </c>
      <c r="C26" t="s">
        <v>195</v>
      </c>
      <c r="D26" s="1">
        <v>46213</v>
      </c>
      <c r="E26" t="s">
        <v>78</v>
      </c>
      <c r="G26" t="s">
        <v>134</v>
      </c>
      <c r="H26" t="s">
        <v>46</v>
      </c>
      <c r="I26" t="s">
        <v>196</v>
      </c>
      <c r="J26" t="s">
        <v>48</v>
      </c>
      <c r="K26" t="s">
        <v>144</v>
      </c>
      <c r="L26" t="s">
        <v>31</v>
      </c>
      <c r="M26" t="s">
        <v>89</v>
      </c>
      <c r="N26" t="s">
        <v>197</v>
      </c>
      <c r="O26">
        <v>8</v>
      </c>
      <c r="P26">
        <v>0</v>
      </c>
      <c r="Q26">
        <v>0</v>
      </c>
      <c r="R26">
        <v>2</v>
      </c>
      <c r="S26">
        <v>4</v>
      </c>
      <c r="T26">
        <v>1</v>
      </c>
      <c r="U26">
        <v>0</v>
      </c>
      <c r="V26">
        <v>0</v>
      </c>
      <c r="W26">
        <v>0</v>
      </c>
      <c r="X26" s="1">
        <v>46213</v>
      </c>
      <c r="Y26" t="s">
        <v>103</v>
      </c>
      <c r="Z26" t="s">
        <v>53</v>
      </c>
      <c r="AB26" t="s">
        <v>65</v>
      </c>
      <c r="AL26">
        <v>808630964</v>
      </c>
      <c r="AM26" t="s">
        <v>198</v>
      </c>
      <c r="AN26" s="1">
        <v>46215.291192129633</v>
      </c>
      <c r="AQ26" t="s">
        <v>56</v>
      </c>
      <c r="AR26" t="s">
        <v>57</v>
      </c>
      <c r="AS26" t="s">
        <v>58</v>
      </c>
      <c r="AU26" t="s">
        <v>199</v>
      </c>
      <c r="AV26">
        <v>25</v>
      </c>
    </row>
    <row r="27" spans="1:48" x14ac:dyDescent="0.35">
      <c r="A27" s="1">
        <v>46213.611491203701</v>
      </c>
      <c r="B27" s="1">
        <v>46213.61236648148</v>
      </c>
      <c r="C27" t="s">
        <v>170</v>
      </c>
      <c r="D27" s="1">
        <v>46213</v>
      </c>
      <c r="E27" t="s">
        <v>44</v>
      </c>
      <c r="F27" t="s">
        <v>122</v>
      </c>
      <c r="H27" t="s">
        <v>46</v>
      </c>
      <c r="I27" t="s">
        <v>200</v>
      </c>
      <c r="J27" t="s">
        <v>48</v>
      </c>
      <c r="K27" t="s">
        <v>178</v>
      </c>
      <c r="L27" t="s">
        <v>50</v>
      </c>
      <c r="N27" t="s">
        <v>201</v>
      </c>
      <c r="O27">
        <v>8</v>
      </c>
      <c r="P27">
        <v>2</v>
      </c>
      <c r="Q27">
        <v>0</v>
      </c>
      <c r="R27">
        <v>4</v>
      </c>
      <c r="S27">
        <v>2</v>
      </c>
      <c r="T27">
        <v>0</v>
      </c>
      <c r="U27">
        <v>0</v>
      </c>
      <c r="V27">
        <v>0</v>
      </c>
      <c r="W27">
        <v>0</v>
      </c>
      <c r="X27" s="1">
        <v>45848</v>
      </c>
      <c r="Y27" t="s">
        <v>103</v>
      </c>
      <c r="Z27" t="s">
        <v>64</v>
      </c>
      <c r="AB27" t="s">
        <v>54</v>
      </c>
      <c r="AL27">
        <v>808630968</v>
      </c>
      <c r="AM27" t="s">
        <v>202</v>
      </c>
      <c r="AN27" s="1">
        <v>46215.291192129633</v>
      </c>
      <c r="AQ27" t="s">
        <v>56</v>
      </c>
      <c r="AR27" t="s">
        <v>57</v>
      </c>
      <c r="AS27" t="s">
        <v>58</v>
      </c>
      <c r="AU27" t="s">
        <v>203</v>
      </c>
      <c r="AV27">
        <v>26</v>
      </c>
    </row>
    <row r="28" spans="1:48" x14ac:dyDescent="0.35">
      <c r="A28" s="1">
        <v>46213.61241577546</v>
      </c>
      <c r="B28" s="1">
        <v>46213.612665659719</v>
      </c>
      <c r="C28" t="s">
        <v>170</v>
      </c>
      <c r="D28" s="1">
        <v>46213</v>
      </c>
      <c r="E28" t="s">
        <v>78</v>
      </c>
      <c r="G28" t="s">
        <v>98</v>
      </c>
      <c r="H28" t="s">
        <v>94</v>
      </c>
      <c r="AB28" t="s">
        <v>54</v>
      </c>
      <c r="AL28">
        <v>808630971</v>
      </c>
      <c r="AM28" t="s">
        <v>204</v>
      </c>
      <c r="AN28" s="1">
        <v>46215.291203703702</v>
      </c>
      <c r="AQ28" t="s">
        <v>56</v>
      </c>
      <c r="AR28" t="s">
        <v>57</v>
      </c>
      <c r="AS28" t="s">
        <v>58</v>
      </c>
      <c r="AU28" t="s">
        <v>205</v>
      </c>
      <c r="AV28">
        <v>27</v>
      </c>
    </row>
    <row r="29" spans="1:48" x14ac:dyDescent="0.35">
      <c r="A29" s="1">
        <v>46213.612840972222</v>
      </c>
      <c r="B29" s="1">
        <v>46213.613616886571</v>
      </c>
      <c r="C29" t="s">
        <v>170</v>
      </c>
      <c r="D29" s="1">
        <v>46213</v>
      </c>
      <c r="E29" t="s">
        <v>44</v>
      </c>
      <c r="F29" t="s">
        <v>45</v>
      </c>
      <c r="H29" t="s">
        <v>46</v>
      </c>
      <c r="I29" t="s">
        <v>206</v>
      </c>
      <c r="J29" t="s">
        <v>48</v>
      </c>
      <c r="K29" t="s">
        <v>207</v>
      </c>
      <c r="L29" t="s">
        <v>71</v>
      </c>
      <c r="N29" t="s">
        <v>208</v>
      </c>
      <c r="O29">
        <v>6</v>
      </c>
      <c r="P29">
        <v>2</v>
      </c>
      <c r="Q29">
        <v>0</v>
      </c>
      <c r="R29">
        <v>4</v>
      </c>
      <c r="S29">
        <v>0</v>
      </c>
      <c r="T29">
        <v>8</v>
      </c>
      <c r="U29">
        <v>0</v>
      </c>
      <c r="V29">
        <v>0</v>
      </c>
      <c r="W29">
        <v>0</v>
      </c>
      <c r="X29" s="1">
        <v>46064</v>
      </c>
      <c r="Y29" t="s">
        <v>83</v>
      </c>
      <c r="Z29" t="s">
        <v>64</v>
      </c>
      <c r="AB29" t="s">
        <v>54</v>
      </c>
      <c r="AL29">
        <v>808630976</v>
      </c>
      <c r="AM29" t="s">
        <v>209</v>
      </c>
      <c r="AN29" s="1">
        <v>46215.291215277779</v>
      </c>
      <c r="AQ29" t="s">
        <v>56</v>
      </c>
      <c r="AR29" t="s">
        <v>57</v>
      </c>
      <c r="AS29" t="s">
        <v>58</v>
      </c>
      <c r="AU29" t="s">
        <v>210</v>
      </c>
      <c r="AV29">
        <v>28</v>
      </c>
    </row>
    <row r="30" spans="1:48" x14ac:dyDescent="0.35">
      <c r="A30" s="1">
        <v>46213.705410937502</v>
      </c>
      <c r="B30" s="1">
        <v>46213.706568113434</v>
      </c>
      <c r="C30" t="s">
        <v>211</v>
      </c>
      <c r="D30" s="1">
        <v>46213</v>
      </c>
      <c r="E30" t="s">
        <v>44</v>
      </c>
      <c r="F30" t="s">
        <v>122</v>
      </c>
      <c r="H30" t="s">
        <v>46</v>
      </c>
      <c r="I30" t="s">
        <v>212</v>
      </c>
      <c r="J30" t="s">
        <v>48</v>
      </c>
      <c r="K30" t="s">
        <v>61</v>
      </c>
      <c r="L30" t="s">
        <v>62</v>
      </c>
      <c r="N30" t="s">
        <v>213</v>
      </c>
      <c r="O30">
        <v>5</v>
      </c>
      <c r="P30">
        <v>2</v>
      </c>
      <c r="Q30">
        <v>2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 s="1">
        <v>43656</v>
      </c>
      <c r="Y30" t="s">
        <v>103</v>
      </c>
      <c r="Z30" t="s">
        <v>74</v>
      </c>
      <c r="AB30" t="s">
        <v>54</v>
      </c>
      <c r="AL30">
        <v>808630980</v>
      </c>
      <c r="AM30" t="s">
        <v>214</v>
      </c>
      <c r="AN30" s="1">
        <v>46215.291215277779</v>
      </c>
      <c r="AQ30" t="s">
        <v>56</v>
      </c>
      <c r="AR30" t="s">
        <v>57</v>
      </c>
      <c r="AS30" t="s">
        <v>58</v>
      </c>
      <c r="AU30" t="s">
        <v>215</v>
      </c>
      <c r="AV30">
        <v>29</v>
      </c>
    </row>
    <row r="31" spans="1:48" x14ac:dyDescent="0.35">
      <c r="A31" s="1">
        <v>46213.899025833343</v>
      </c>
      <c r="B31" s="1">
        <v>46213.899823391213</v>
      </c>
      <c r="C31" t="s">
        <v>211</v>
      </c>
      <c r="D31" s="1">
        <v>46213</v>
      </c>
      <c r="E31" t="s">
        <v>44</v>
      </c>
      <c r="F31" t="s">
        <v>122</v>
      </c>
      <c r="H31" t="s">
        <v>46</v>
      </c>
      <c r="I31" t="s">
        <v>216</v>
      </c>
      <c r="J31" t="s">
        <v>48</v>
      </c>
      <c r="K31" t="s">
        <v>217</v>
      </c>
      <c r="L31" t="s">
        <v>50</v>
      </c>
      <c r="N31" t="s">
        <v>218</v>
      </c>
      <c r="O31">
        <v>8</v>
      </c>
      <c r="P31">
        <v>0</v>
      </c>
      <c r="Q31">
        <v>0</v>
      </c>
      <c r="R31">
        <v>4</v>
      </c>
      <c r="S31">
        <v>2</v>
      </c>
      <c r="T31">
        <v>2</v>
      </c>
      <c r="U31">
        <v>0</v>
      </c>
      <c r="V31">
        <v>0</v>
      </c>
      <c r="W31">
        <v>0</v>
      </c>
      <c r="X31" s="1">
        <v>45117</v>
      </c>
      <c r="Y31" t="s">
        <v>103</v>
      </c>
      <c r="Z31" t="s">
        <v>53</v>
      </c>
      <c r="AB31" t="s">
        <v>54</v>
      </c>
      <c r="AL31">
        <v>808630985</v>
      </c>
      <c r="AM31" t="s">
        <v>219</v>
      </c>
      <c r="AN31" s="1">
        <v>46215.291226851848</v>
      </c>
      <c r="AQ31" t="s">
        <v>56</v>
      </c>
      <c r="AR31" t="s">
        <v>57</v>
      </c>
      <c r="AS31" t="s">
        <v>58</v>
      </c>
      <c r="AU31" t="s">
        <v>220</v>
      </c>
      <c r="AV31">
        <v>30</v>
      </c>
    </row>
    <row r="32" spans="1:48" x14ac:dyDescent="0.35">
      <c r="A32" s="1">
        <v>46213.899895312497</v>
      </c>
      <c r="B32" s="1">
        <v>46213.900721944447</v>
      </c>
      <c r="C32" t="s">
        <v>221</v>
      </c>
      <c r="D32" s="1">
        <v>46213</v>
      </c>
      <c r="E32" t="s">
        <v>44</v>
      </c>
      <c r="F32" t="s">
        <v>222</v>
      </c>
      <c r="H32" t="s">
        <v>46</v>
      </c>
      <c r="I32" t="s">
        <v>223</v>
      </c>
      <c r="J32" t="s">
        <v>48</v>
      </c>
      <c r="K32" t="s">
        <v>151</v>
      </c>
      <c r="L32" t="s">
        <v>62</v>
      </c>
      <c r="N32" t="s">
        <v>224</v>
      </c>
      <c r="O32">
        <v>5</v>
      </c>
      <c r="P32">
        <v>2</v>
      </c>
      <c r="Q32">
        <v>0</v>
      </c>
      <c r="R32">
        <v>0</v>
      </c>
      <c r="S32">
        <v>3</v>
      </c>
      <c r="T32">
        <v>0</v>
      </c>
      <c r="U32">
        <v>0</v>
      </c>
      <c r="V32">
        <v>0</v>
      </c>
      <c r="W32">
        <v>0</v>
      </c>
      <c r="X32" s="1">
        <v>46070</v>
      </c>
      <c r="Y32" t="s">
        <v>52</v>
      </c>
      <c r="Z32" t="s">
        <v>53</v>
      </c>
      <c r="AB32" t="s">
        <v>54</v>
      </c>
      <c r="AL32">
        <v>808630997</v>
      </c>
      <c r="AM32" t="s">
        <v>225</v>
      </c>
      <c r="AN32" s="1">
        <v>46215.291238425933</v>
      </c>
      <c r="AQ32" t="s">
        <v>56</v>
      </c>
      <c r="AR32" t="s">
        <v>57</v>
      </c>
      <c r="AS32" t="s">
        <v>58</v>
      </c>
      <c r="AU32" t="s">
        <v>226</v>
      </c>
      <c r="AV32">
        <v>31</v>
      </c>
    </row>
    <row r="33" spans="1:48" x14ac:dyDescent="0.35">
      <c r="A33" s="1">
        <v>46213.900810567131</v>
      </c>
      <c r="B33" s="1">
        <v>46213.902023842587</v>
      </c>
      <c r="C33" t="s">
        <v>211</v>
      </c>
      <c r="D33" s="1">
        <v>46213</v>
      </c>
      <c r="E33" t="s">
        <v>44</v>
      </c>
      <c r="F33" t="s">
        <v>161</v>
      </c>
      <c r="H33" t="s">
        <v>46</v>
      </c>
      <c r="I33" t="s">
        <v>227</v>
      </c>
      <c r="J33" t="s">
        <v>48</v>
      </c>
      <c r="K33" t="s">
        <v>100</v>
      </c>
      <c r="L33" t="s">
        <v>31</v>
      </c>
      <c r="M33" t="s">
        <v>89</v>
      </c>
      <c r="N33" t="s">
        <v>228</v>
      </c>
      <c r="O33">
        <v>9</v>
      </c>
      <c r="P33">
        <v>2</v>
      </c>
      <c r="Q33">
        <v>0</v>
      </c>
      <c r="R33">
        <v>3</v>
      </c>
      <c r="S33">
        <v>3</v>
      </c>
      <c r="T33">
        <v>0</v>
      </c>
      <c r="U33">
        <v>0</v>
      </c>
      <c r="V33">
        <v>0</v>
      </c>
      <c r="W33">
        <v>0</v>
      </c>
      <c r="X33" s="1">
        <v>42561</v>
      </c>
      <c r="Y33" t="s">
        <v>103</v>
      </c>
      <c r="Z33" t="s">
        <v>53</v>
      </c>
      <c r="AB33" t="s">
        <v>54</v>
      </c>
      <c r="AL33">
        <v>808631004</v>
      </c>
      <c r="AM33" t="s">
        <v>229</v>
      </c>
      <c r="AN33" s="1">
        <v>46215.291250000002</v>
      </c>
      <c r="AQ33" t="s">
        <v>56</v>
      </c>
      <c r="AR33" t="s">
        <v>57</v>
      </c>
      <c r="AS33" t="s">
        <v>58</v>
      </c>
      <c r="AU33" t="s">
        <v>230</v>
      </c>
      <c r="AV33">
        <v>32</v>
      </c>
    </row>
    <row r="34" spans="1:48" x14ac:dyDescent="0.35">
      <c r="A34" s="1">
        <v>46213.90280340278</v>
      </c>
      <c r="B34" s="1">
        <v>46213.9037503125</v>
      </c>
      <c r="C34" t="s">
        <v>231</v>
      </c>
      <c r="D34" s="1">
        <v>46213</v>
      </c>
      <c r="E34" t="s">
        <v>78</v>
      </c>
      <c r="G34" t="s">
        <v>117</v>
      </c>
      <c r="H34" t="s">
        <v>46</v>
      </c>
      <c r="I34" t="s">
        <v>232</v>
      </c>
      <c r="J34" t="s">
        <v>48</v>
      </c>
      <c r="K34" t="s">
        <v>100</v>
      </c>
      <c r="L34" t="s">
        <v>62</v>
      </c>
      <c r="N34" t="s">
        <v>108</v>
      </c>
      <c r="O34">
        <v>5</v>
      </c>
      <c r="P34">
        <v>2</v>
      </c>
      <c r="Q34">
        <v>0</v>
      </c>
      <c r="R34">
        <v>2</v>
      </c>
      <c r="S34">
        <v>1</v>
      </c>
      <c r="T34">
        <v>0</v>
      </c>
      <c r="U34">
        <v>0</v>
      </c>
      <c r="V34">
        <v>0</v>
      </c>
      <c r="W34">
        <v>0</v>
      </c>
      <c r="X34" s="1">
        <v>46213</v>
      </c>
      <c r="Y34" t="s">
        <v>52</v>
      </c>
      <c r="Z34" t="s">
        <v>53</v>
      </c>
      <c r="AB34" t="s">
        <v>233</v>
      </c>
      <c r="AL34">
        <v>808631007</v>
      </c>
      <c r="AM34" t="s">
        <v>234</v>
      </c>
      <c r="AN34" s="1">
        <v>46215.291261574072</v>
      </c>
      <c r="AQ34" t="s">
        <v>56</v>
      </c>
      <c r="AR34" t="s">
        <v>57</v>
      </c>
      <c r="AS34" t="s">
        <v>58</v>
      </c>
      <c r="AU34" t="s">
        <v>235</v>
      </c>
      <c r="AV34">
        <v>33</v>
      </c>
    </row>
    <row r="35" spans="1:48" x14ac:dyDescent="0.35">
      <c r="A35" s="1">
        <v>46213.904020451388</v>
      </c>
      <c r="B35" s="1">
        <v>46213.904986782407</v>
      </c>
      <c r="C35" t="s">
        <v>236</v>
      </c>
      <c r="D35" s="1">
        <v>46213</v>
      </c>
      <c r="E35" t="s">
        <v>78</v>
      </c>
      <c r="G35" t="s">
        <v>128</v>
      </c>
      <c r="H35" t="s">
        <v>46</v>
      </c>
      <c r="I35" t="s">
        <v>237</v>
      </c>
      <c r="J35" t="s">
        <v>48</v>
      </c>
      <c r="K35" t="s">
        <v>81</v>
      </c>
      <c r="L35" t="s">
        <v>31</v>
      </c>
      <c r="M35" t="s">
        <v>89</v>
      </c>
      <c r="N35" t="s">
        <v>136</v>
      </c>
      <c r="O35">
        <v>10</v>
      </c>
      <c r="P35">
        <v>0</v>
      </c>
      <c r="Q35">
        <v>0</v>
      </c>
      <c r="R35">
        <v>3</v>
      </c>
      <c r="S35">
        <v>3</v>
      </c>
      <c r="T35">
        <v>2</v>
      </c>
      <c r="U35">
        <v>2</v>
      </c>
      <c r="V35">
        <v>0</v>
      </c>
      <c r="W35">
        <v>0</v>
      </c>
      <c r="X35" s="1">
        <v>41100</v>
      </c>
      <c r="Y35" t="s">
        <v>103</v>
      </c>
      <c r="Z35" t="s">
        <v>53</v>
      </c>
      <c r="AB35" t="s">
        <v>54</v>
      </c>
      <c r="AL35">
        <v>808631016</v>
      </c>
      <c r="AM35" t="s">
        <v>238</v>
      </c>
      <c r="AN35" s="1">
        <v>46215.291273148148</v>
      </c>
      <c r="AQ35" t="s">
        <v>56</v>
      </c>
      <c r="AR35" t="s">
        <v>57</v>
      </c>
      <c r="AS35" t="s">
        <v>58</v>
      </c>
      <c r="AU35" t="s">
        <v>239</v>
      </c>
      <c r="AV35">
        <v>34</v>
      </c>
    </row>
    <row r="36" spans="1:48" x14ac:dyDescent="0.35">
      <c r="A36" s="1">
        <v>46213.905086226849</v>
      </c>
      <c r="B36" s="1">
        <v>46213.905932893518</v>
      </c>
      <c r="C36" t="s">
        <v>231</v>
      </c>
      <c r="D36" s="1">
        <v>46213</v>
      </c>
      <c r="E36" t="s">
        <v>78</v>
      </c>
      <c r="G36" t="s">
        <v>79</v>
      </c>
      <c r="H36" t="s">
        <v>46</v>
      </c>
      <c r="I36" t="s">
        <v>223</v>
      </c>
      <c r="J36" t="s">
        <v>48</v>
      </c>
      <c r="K36" t="s">
        <v>207</v>
      </c>
      <c r="L36" t="s">
        <v>50</v>
      </c>
      <c r="N36" t="s">
        <v>240</v>
      </c>
      <c r="O36">
        <v>8</v>
      </c>
      <c r="P36">
        <v>2</v>
      </c>
      <c r="Q36">
        <v>0</v>
      </c>
      <c r="R36">
        <v>2</v>
      </c>
      <c r="S36">
        <v>2</v>
      </c>
      <c r="T36">
        <v>2</v>
      </c>
      <c r="U36">
        <v>0</v>
      </c>
      <c r="V36">
        <v>0</v>
      </c>
      <c r="W36">
        <v>0</v>
      </c>
      <c r="X36" s="1">
        <v>43656</v>
      </c>
      <c r="Y36" t="s">
        <v>103</v>
      </c>
      <c r="Z36" t="s">
        <v>53</v>
      </c>
      <c r="AB36" t="s">
        <v>54</v>
      </c>
      <c r="AL36">
        <v>808631020</v>
      </c>
      <c r="AM36" t="s">
        <v>241</v>
      </c>
      <c r="AN36" s="1">
        <v>46215.291284722232</v>
      </c>
      <c r="AQ36" t="s">
        <v>56</v>
      </c>
      <c r="AR36" t="s">
        <v>57</v>
      </c>
      <c r="AS36" t="s">
        <v>58</v>
      </c>
      <c r="AU36" t="s">
        <v>242</v>
      </c>
      <c r="AV36">
        <v>35</v>
      </c>
    </row>
    <row r="37" spans="1:48" x14ac:dyDescent="0.35">
      <c r="A37" s="1">
        <v>46213.906064120369</v>
      </c>
      <c r="B37" s="1">
        <v>46213.906901111113</v>
      </c>
      <c r="C37" t="s">
        <v>231</v>
      </c>
      <c r="D37" s="1">
        <v>46213</v>
      </c>
      <c r="E37" t="s">
        <v>78</v>
      </c>
      <c r="G37" t="s">
        <v>117</v>
      </c>
      <c r="H37" t="s">
        <v>46</v>
      </c>
      <c r="I37" t="s">
        <v>118</v>
      </c>
      <c r="J37" t="s">
        <v>48</v>
      </c>
      <c r="K37" t="s">
        <v>100</v>
      </c>
      <c r="L37" t="s">
        <v>62</v>
      </c>
      <c r="N37" t="s">
        <v>243</v>
      </c>
      <c r="O37">
        <v>6</v>
      </c>
      <c r="P37">
        <v>2</v>
      </c>
      <c r="Q37">
        <v>0</v>
      </c>
      <c r="R37">
        <v>1</v>
      </c>
      <c r="S37">
        <v>2</v>
      </c>
      <c r="T37">
        <v>1</v>
      </c>
      <c r="U37">
        <v>0</v>
      </c>
      <c r="V37">
        <v>0</v>
      </c>
      <c r="W37">
        <v>0</v>
      </c>
      <c r="X37" s="1">
        <v>46086</v>
      </c>
      <c r="Y37" t="s">
        <v>73</v>
      </c>
      <c r="Z37" t="s">
        <v>53</v>
      </c>
      <c r="AB37" t="s">
        <v>54</v>
      </c>
      <c r="AL37">
        <v>808631029</v>
      </c>
      <c r="AM37" t="s">
        <v>244</v>
      </c>
      <c r="AN37" s="1">
        <v>46215.291284722232</v>
      </c>
      <c r="AQ37" t="s">
        <v>56</v>
      </c>
      <c r="AR37" t="s">
        <v>57</v>
      </c>
      <c r="AS37" t="s">
        <v>58</v>
      </c>
      <c r="AU37" t="s">
        <v>245</v>
      </c>
      <c r="AV37">
        <v>36</v>
      </c>
    </row>
    <row r="38" spans="1:48" x14ac:dyDescent="0.35">
      <c r="A38" s="1">
        <v>46213.909867372677</v>
      </c>
      <c r="B38" s="1">
        <v>46213.91105357639</v>
      </c>
      <c r="C38" t="s">
        <v>231</v>
      </c>
      <c r="D38" s="1">
        <v>46213</v>
      </c>
      <c r="E38" t="s">
        <v>78</v>
      </c>
      <c r="G38" t="s">
        <v>86</v>
      </c>
      <c r="H38" t="s">
        <v>46</v>
      </c>
      <c r="I38" t="s">
        <v>246</v>
      </c>
      <c r="J38" t="s">
        <v>48</v>
      </c>
      <c r="K38" t="s">
        <v>207</v>
      </c>
      <c r="L38" t="s">
        <v>50</v>
      </c>
      <c r="N38" t="s">
        <v>247</v>
      </c>
      <c r="O38">
        <v>8</v>
      </c>
      <c r="P38">
        <v>0</v>
      </c>
      <c r="Q38">
        <v>5</v>
      </c>
      <c r="R38">
        <v>0</v>
      </c>
      <c r="S38">
        <v>0</v>
      </c>
      <c r="T38">
        <v>2</v>
      </c>
      <c r="U38">
        <v>1</v>
      </c>
      <c r="V38">
        <v>0</v>
      </c>
      <c r="W38">
        <v>0</v>
      </c>
      <c r="X38" s="1">
        <v>46213</v>
      </c>
      <c r="Y38" t="s">
        <v>83</v>
      </c>
      <c r="Z38" t="s">
        <v>53</v>
      </c>
      <c r="AB38" t="s">
        <v>54</v>
      </c>
      <c r="AL38">
        <v>808631033</v>
      </c>
      <c r="AM38" t="s">
        <v>248</v>
      </c>
      <c r="AN38" s="1">
        <v>46215.291296296287</v>
      </c>
      <c r="AQ38" t="s">
        <v>56</v>
      </c>
      <c r="AR38" t="s">
        <v>57</v>
      </c>
      <c r="AS38" t="s">
        <v>58</v>
      </c>
      <c r="AU38" t="s">
        <v>249</v>
      </c>
      <c r="AV38">
        <v>37</v>
      </c>
    </row>
    <row r="39" spans="1:48" x14ac:dyDescent="0.35">
      <c r="A39" s="1">
        <v>46213.911817060187</v>
      </c>
      <c r="B39" s="1">
        <v>46213.913168449071</v>
      </c>
      <c r="C39" t="s">
        <v>250</v>
      </c>
      <c r="D39" s="1">
        <v>46213</v>
      </c>
      <c r="E39" t="s">
        <v>44</v>
      </c>
      <c r="F39" t="s">
        <v>222</v>
      </c>
      <c r="H39" t="s">
        <v>46</v>
      </c>
      <c r="I39" t="s">
        <v>251</v>
      </c>
      <c r="J39" t="s">
        <v>48</v>
      </c>
      <c r="K39" t="s">
        <v>252</v>
      </c>
      <c r="L39" t="s">
        <v>50</v>
      </c>
      <c r="N39" t="s">
        <v>253</v>
      </c>
      <c r="O39">
        <v>8</v>
      </c>
      <c r="P39">
        <v>0</v>
      </c>
      <c r="Q39">
        <v>0</v>
      </c>
      <c r="R39">
        <v>2</v>
      </c>
      <c r="S39">
        <v>4</v>
      </c>
      <c r="T39">
        <v>2</v>
      </c>
      <c r="U39">
        <v>0</v>
      </c>
      <c r="V39">
        <v>0</v>
      </c>
      <c r="W39">
        <v>0</v>
      </c>
      <c r="X39" s="1">
        <v>46189</v>
      </c>
      <c r="Y39" t="s">
        <v>103</v>
      </c>
      <c r="Z39" t="s">
        <v>74</v>
      </c>
      <c r="AB39" t="s">
        <v>54</v>
      </c>
      <c r="AL39">
        <v>808631040</v>
      </c>
      <c r="AM39" t="s">
        <v>254</v>
      </c>
      <c r="AN39" s="1">
        <v>46215.291307870371</v>
      </c>
      <c r="AQ39" t="s">
        <v>56</v>
      </c>
      <c r="AR39" t="s">
        <v>57</v>
      </c>
      <c r="AS39" t="s">
        <v>58</v>
      </c>
      <c r="AU39" t="s">
        <v>255</v>
      </c>
      <c r="AV39">
        <v>38</v>
      </c>
    </row>
    <row r="40" spans="1:48" x14ac:dyDescent="0.35">
      <c r="A40" s="1">
        <v>46213.913366423607</v>
      </c>
      <c r="B40" s="1">
        <v>46213.914421574067</v>
      </c>
      <c r="C40" t="s">
        <v>256</v>
      </c>
      <c r="D40" s="1">
        <v>46213</v>
      </c>
      <c r="E40" t="s">
        <v>44</v>
      </c>
      <c r="F40" t="s">
        <v>45</v>
      </c>
      <c r="H40" t="s">
        <v>46</v>
      </c>
      <c r="I40" t="s">
        <v>257</v>
      </c>
      <c r="J40" t="s">
        <v>48</v>
      </c>
      <c r="K40" t="s">
        <v>49</v>
      </c>
      <c r="L40" t="s">
        <v>50</v>
      </c>
      <c r="N40" t="s">
        <v>258</v>
      </c>
      <c r="O40">
        <v>6</v>
      </c>
      <c r="P40">
        <v>2</v>
      </c>
      <c r="Q40">
        <v>0</v>
      </c>
      <c r="R40">
        <v>2</v>
      </c>
      <c r="S40">
        <v>2</v>
      </c>
      <c r="T40">
        <v>0</v>
      </c>
      <c r="U40">
        <v>0</v>
      </c>
      <c r="V40">
        <v>0</v>
      </c>
      <c r="W40">
        <v>0</v>
      </c>
      <c r="X40" s="1">
        <v>43656</v>
      </c>
      <c r="Y40" t="s">
        <v>83</v>
      </c>
      <c r="Z40" t="s">
        <v>64</v>
      </c>
      <c r="AB40" t="s">
        <v>54</v>
      </c>
      <c r="AL40">
        <v>808631041</v>
      </c>
      <c r="AM40" t="s">
        <v>259</v>
      </c>
      <c r="AN40" s="1">
        <v>46215.291319444441</v>
      </c>
      <c r="AQ40" t="s">
        <v>56</v>
      </c>
      <c r="AR40" t="s">
        <v>57</v>
      </c>
      <c r="AS40" t="s">
        <v>58</v>
      </c>
      <c r="AU40" t="s">
        <v>260</v>
      </c>
      <c r="AV40">
        <v>39</v>
      </c>
    </row>
    <row r="41" spans="1:48" x14ac:dyDescent="0.35">
      <c r="A41" s="1">
        <v>46213.914474953701</v>
      </c>
      <c r="B41" s="1">
        <v>46213.915590208337</v>
      </c>
      <c r="C41" t="s">
        <v>256</v>
      </c>
      <c r="D41" s="1">
        <v>46213</v>
      </c>
      <c r="E41" t="s">
        <v>44</v>
      </c>
      <c r="F41" t="s">
        <v>122</v>
      </c>
      <c r="H41" t="s">
        <v>46</v>
      </c>
      <c r="I41" t="s">
        <v>261</v>
      </c>
      <c r="J41" t="s">
        <v>48</v>
      </c>
      <c r="K41" t="s">
        <v>262</v>
      </c>
      <c r="L41" t="s">
        <v>50</v>
      </c>
      <c r="N41" t="s">
        <v>263</v>
      </c>
      <c r="O41">
        <v>8</v>
      </c>
      <c r="P41">
        <v>2</v>
      </c>
      <c r="Q41">
        <v>0</v>
      </c>
      <c r="R41">
        <v>4</v>
      </c>
      <c r="S41">
        <v>2</v>
      </c>
      <c r="T41">
        <v>0</v>
      </c>
      <c r="U41">
        <v>0</v>
      </c>
      <c r="V41">
        <v>0</v>
      </c>
      <c r="W41">
        <v>0</v>
      </c>
      <c r="X41" s="1">
        <v>46212</v>
      </c>
      <c r="Y41" t="s">
        <v>73</v>
      </c>
      <c r="Z41" t="s">
        <v>64</v>
      </c>
      <c r="AB41" t="s">
        <v>54</v>
      </c>
      <c r="AL41">
        <v>808631046</v>
      </c>
      <c r="AM41" t="s">
        <v>264</v>
      </c>
      <c r="AN41" s="1">
        <v>46215.291319444441</v>
      </c>
      <c r="AQ41" t="s">
        <v>56</v>
      </c>
      <c r="AR41" t="s">
        <v>57</v>
      </c>
      <c r="AS41" t="s">
        <v>58</v>
      </c>
      <c r="AU41" t="s">
        <v>265</v>
      </c>
      <c r="AV41">
        <v>40</v>
      </c>
    </row>
    <row r="42" spans="1:48" x14ac:dyDescent="0.35">
      <c r="A42" s="1">
        <v>46213.915643402783</v>
      </c>
      <c r="B42" s="1">
        <v>46213.916533900461</v>
      </c>
      <c r="C42" t="s">
        <v>256</v>
      </c>
      <c r="D42" s="1">
        <v>46213</v>
      </c>
      <c r="E42" t="s">
        <v>44</v>
      </c>
      <c r="F42" t="s">
        <v>68</v>
      </c>
      <c r="H42" t="s">
        <v>46</v>
      </c>
      <c r="I42" t="s">
        <v>266</v>
      </c>
      <c r="J42" t="s">
        <v>48</v>
      </c>
      <c r="K42" t="s">
        <v>267</v>
      </c>
      <c r="L42" t="s">
        <v>62</v>
      </c>
      <c r="N42" t="s">
        <v>268</v>
      </c>
      <c r="O42">
        <v>10</v>
      </c>
      <c r="P42">
        <v>0</v>
      </c>
      <c r="Q42">
        <v>0</v>
      </c>
      <c r="R42">
        <v>4</v>
      </c>
      <c r="S42">
        <v>0</v>
      </c>
      <c r="T42">
        <v>4</v>
      </c>
      <c r="U42">
        <v>2</v>
      </c>
      <c r="V42">
        <v>0</v>
      </c>
      <c r="W42">
        <v>0</v>
      </c>
      <c r="X42" s="1">
        <v>46206</v>
      </c>
      <c r="Y42" t="s">
        <v>52</v>
      </c>
      <c r="Z42" t="s">
        <v>74</v>
      </c>
      <c r="AB42" t="s">
        <v>54</v>
      </c>
      <c r="AL42">
        <v>808631053</v>
      </c>
      <c r="AM42" t="s">
        <v>269</v>
      </c>
      <c r="AN42" s="1">
        <v>46215.291342592587</v>
      </c>
      <c r="AQ42" t="s">
        <v>56</v>
      </c>
      <c r="AR42" t="s">
        <v>57</v>
      </c>
      <c r="AS42" t="s">
        <v>58</v>
      </c>
      <c r="AU42" t="s">
        <v>270</v>
      </c>
      <c r="AV42">
        <v>41</v>
      </c>
    </row>
    <row r="43" spans="1:48" x14ac:dyDescent="0.35">
      <c r="A43" s="1">
        <v>46213.916635960653</v>
      </c>
      <c r="B43" s="1">
        <v>46213.917449490742</v>
      </c>
      <c r="C43" t="s">
        <v>256</v>
      </c>
      <c r="D43" s="1">
        <v>46213</v>
      </c>
      <c r="E43" t="s">
        <v>44</v>
      </c>
      <c r="F43" t="s">
        <v>142</v>
      </c>
      <c r="H43" t="s">
        <v>46</v>
      </c>
      <c r="I43" t="s">
        <v>271</v>
      </c>
      <c r="J43" t="s">
        <v>48</v>
      </c>
      <c r="K43" t="s">
        <v>49</v>
      </c>
      <c r="L43" t="s">
        <v>31</v>
      </c>
      <c r="M43" t="s">
        <v>89</v>
      </c>
      <c r="N43" t="s">
        <v>272</v>
      </c>
      <c r="O43">
        <v>8</v>
      </c>
      <c r="P43">
        <v>2</v>
      </c>
      <c r="Q43">
        <v>0</v>
      </c>
      <c r="R43">
        <v>2</v>
      </c>
      <c r="S43">
        <v>2</v>
      </c>
      <c r="T43">
        <v>2</v>
      </c>
      <c r="U43">
        <v>0</v>
      </c>
      <c r="V43">
        <v>0</v>
      </c>
      <c r="W43">
        <v>0</v>
      </c>
      <c r="X43" s="1">
        <v>45483</v>
      </c>
      <c r="Y43" t="s">
        <v>52</v>
      </c>
      <c r="Z43" t="s">
        <v>64</v>
      </c>
      <c r="AB43" t="s">
        <v>54</v>
      </c>
      <c r="AL43">
        <v>808631061</v>
      </c>
      <c r="AM43" t="s">
        <v>273</v>
      </c>
      <c r="AN43" s="1">
        <v>46215.291354166657</v>
      </c>
      <c r="AQ43" t="s">
        <v>56</v>
      </c>
      <c r="AR43" t="s">
        <v>57</v>
      </c>
      <c r="AS43" t="s">
        <v>58</v>
      </c>
      <c r="AU43" t="s">
        <v>274</v>
      </c>
      <c r="AV43">
        <v>42</v>
      </c>
    </row>
    <row r="44" spans="1:48" x14ac:dyDescent="0.35">
      <c r="A44" s="1">
        <v>46213.917492719913</v>
      </c>
      <c r="B44" s="1">
        <v>46213.918309849527</v>
      </c>
      <c r="C44" t="s">
        <v>256</v>
      </c>
      <c r="D44" s="1">
        <v>46213</v>
      </c>
      <c r="E44" t="s">
        <v>44</v>
      </c>
      <c r="F44" t="s">
        <v>161</v>
      </c>
      <c r="H44" t="s">
        <v>46</v>
      </c>
      <c r="I44" t="s">
        <v>275</v>
      </c>
      <c r="J44" t="s">
        <v>48</v>
      </c>
      <c r="K44" t="s">
        <v>61</v>
      </c>
      <c r="L44" t="s">
        <v>50</v>
      </c>
      <c r="N44" t="s">
        <v>276</v>
      </c>
      <c r="O44">
        <v>5</v>
      </c>
      <c r="P44">
        <v>0</v>
      </c>
      <c r="Q44">
        <v>2</v>
      </c>
      <c r="R44">
        <v>0</v>
      </c>
      <c r="S44">
        <v>2</v>
      </c>
      <c r="T44">
        <v>1</v>
      </c>
      <c r="U44">
        <v>0</v>
      </c>
      <c r="V44">
        <v>0</v>
      </c>
      <c r="W44">
        <v>0</v>
      </c>
      <c r="X44" s="1">
        <v>46209</v>
      </c>
      <c r="Y44" t="s">
        <v>103</v>
      </c>
      <c r="Z44" t="s">
        <v>64</v>
      </c>
      <c r="AB44" t="s">
        <v>54</v>
      </c>
      <c r="AL44">
        <v>808631068</v>
      </c>
      <c r="AM44" t="s">
        <v>277</v>
      </c>
      <c r="AN44" s="1">
        <v>46215.291365740741</v>
      </c>
      <c r="AQ44" t="s">
        <v>56</v>
      </c>
      <c r="AR44" t="s">
        <v>57</v>
      </c>
      <c r="AS44" t="s">
        <v>58</v>
      </c>
      <c r="AU44" t="s">
        <v>278</v>
      </c>
      <c r="AV44">
        <v>43</v>
      </c>
    </row>
    <row r="45" spans="1:48" x14ac:dyDescent="0.35">
      <c r="A45" s="1">
        <v>46213.93068878472</v>
      </c>
      <c r="B45" s="1">
        <v>46213.931624166667</v>
      </c>
      <c r="C45" t="s">
        <v>279</v>
      </c>
      <c r="D45" s="1">
        <v>46213</v>
      </c>
      <c r="E45" t="s">
        <v>78</v>
      </c>
      <c r="G45" t="s">
        <v>117</v>
      </c>
      <c r="H45" t="s">
        <v>46</v>
      </c>
      <c r="I45" t="s">
        <v>223</v>
      </c>
      <c r="J45" t="s">
        <v>48</v>
      </c>
      <c r="K45" t="s">
        <v>151</v>
      </c>
      <c r="L45" t="s">
        <v>50</v>
      </c>
      <c r="N45" t="s">
        <v>280</v>
      </c>
      <c r="O45">
        <v>8</v>
      </c>
      <c r="P45">
        <v>2</v>
      </c>
      <c r="Q45">
        <v>0</v>
      </c>
      <c r="R45">
        <v>4</v>
      </c>
      <c r="S45">
        <v>2</v>
      </c>
      <c r="T45">
        <v>0</v>
      </c>
      <c r="U45">
        <v>0</v>
      </c>
      <c r="V45">
        <v>0</v>
      </c>
      <c r="W45">
        <v>0</v>
      </c>
      <c r="X45" s="1">
        <v>46204</v>
      </c>
      <c r="Y45" t="s">
        <v>83</v>
      </c>
      <c r="Z45" t="s">
        <v>53</v>
      </c>
      <c r="AB45" t="s">
        <v>54</v>
      </c>
      <c r="AL45">
        <v>808631070</v>
      </c>
      <c r="AM45" t="s">
        <v>281</v>
      </c>
      <c r="AN45" s="1">
        <v>46215.291365740741</v>
      </c>
      <c r="AQ45" t="s">
        <v>56</v>
      </c>
      <c r="AR45" t="s">
        <v>57</v>
      </c>
      <c r="AS45" t="s">
        <v>58</v>
      </c>
      <c r="AU45" t="s">
        <v>282</v>
      </c>
      <c r="AV45">
        <v>44</v>
      </c>
    </row>
    <row r="46" spans="1:48" x14ac:dyDescent="0.35">
      <c r="A46" s="1">
        <v>46213.93169888889</v>
      </c>
      <c r="B46" s="1">
        <v>46213.932438541669</v>
      </c>
      <c r="C46" t="s">
        <v>279</v>
      </c>
      <c r="D46" s="1">
        <v>46213</v>
      </c>
      <c r="E46" t="s">
        <v>78</v>
      </c>
      <c r="G46" t="s">
        <v>134</v>
      </c>
      <c r="H46" t="s">
        <v>46</v>
      </c>
      <c r="I46" t="s">
        <v>283</v>
      </c>
      <c r="J46" t="s">
        <v>48</v>
      </c>
      <c r="K46" t="s">
        <v>262</v>
      </c>
      <c r="L46" t="s">
        <v>31</v>
      </c>
      <c r="M46" t="s">
        <v>89</v>
      </c>
      <c r="N46" t="s">
        <v>284</v>
      </c>
      <c r="O46">
        <v>5</v>
      </c>
      <c r="P46">
        <v>0</v>
      </c>
      <c r="Q46">
        <v>0</v>
      </c>
      <c r="R46">
        <v>3</v>
      </c>
      <c r="S46">
        <v>2</v>
      </c>
      <c r="T46">
        <v>0</v>
      </c>
      <c r="U46">
        <v>0</v>
      </c>
      <c r="V46">
        <v>0</v>
      </c>
      <c r="W46">
        <v>0</v>
      </c>
      <c r="X46" s="1">
        <v>46207</v>
      </c>
      <c r="Y46" t="s">
        <v>52</v>
      </c>
      <c r="Z46" t="s">
        <v>64</v>
      </c>
      <c r="AB46" t="s">
        <v>54</v>
      </c>
      <c r="AL46">
        <v>808631073</v>
      </c>
      <c r="AM46" t="s">
        <v>285</v>
      </c>
      <c r="AN46" s="1">
        <v>46215.291377314818</v>
      </c>
      <c r="AQ46" t="s">
        <v>56</v>
      </c>
      <c r="AR46" t="s">
        <v>57</v>
      </c>
      <c r="AS46" t="s">
        <v>58</v>
      </c>
      <c r="AU46" t="s">
        <v>286</v>
      </c>
      <c r="AV46">
        <v>45</v>
      </c>
    </row>
    <row r="47" spans="1:48" x14ac:dyDescent="0.35">
      <c r="A47" s="1">
        <v>46213.932497592592</v>
      </c>
      <c r="B47" s="1">
        <v>46213.932684618063</v>
      </c>
      <c r="C47" t="s">
        <v>279</v>
      </c>
      <c r="D47" s="1">
        <v>46213</v>
      </c>
      <c r="E47" t="s">
        <v>78</v>
      </c>
      <c r="G47" t="s">
        <v>134</v>
      </c>
      <c r="H47" t="s">
        <v>94</v>
      </c>
      <c r="AB47" t="s">
        <v>54</v>
      </c>
      <c r="AL47">
        <v>808631078</v>
      </c>
      <c r="AM47" t="s">
        <v>287</v>
      </c>
      <c r="AN47" s="1">
        <v>46215.291388888887</v>
      </c>
      <c r="AQ47" t="s">
        <v>56</v>
      </c>
      <c r="AR47" t="s">
        <v>57</v>
      </c>
      <c r="AS47" t="s">
        <v>58</v>
      </c>
      <c r="AU47" t="s">
        <v>288</v>
      </c>
      <c r="AV47">
        <v>46</v>
      </c>
    </row>
    <row r="48" spans="1:48" x14ac:dyDescent="0.35">
      <c r="A48" s="1">
        <v>46213.93273083333</v>
      </c>
      <c r="B48" s="1">
        <v>46213.933372881947</v>
      </c>
      <c r="C48" t="s">
        <v>279</v>
      </c>
      <c r="D48" s="1">
        <v>46213</v>
      </c>
      <c r="E48" t="s">
        <v>78</v>
      </c>
      <c r="G48" t="s">
        <v>128</v>
      </c>
      <c r="H48" t="s">
        <v>46</v>
      </c>
      <c r="I48" t="s">
        <v>289</v>
      </c>
      <c r="J48" t="s">
        <v>48</v>
      </c>
      <c r="K48" t="s">
        <v>88</v>
      </c>
      <c r="L48" t="s">
        <v>62</v>
      </c>
      <c r="N48" t="s">
        <v>290</v>
      </c>
      <c r="O48">
        <v>9</v>
      </c>
      <c r="P48">
        <v>2</v>
      </c>
      <c r="Q48">
        <v>0</v>
      </c>
      <c r="R48">
        <v>4</v>
      </c>
      <c r="S48">
        <v>2</v>
      </c>
      <c r="T48">
        <v>1</v>
      </c>
      <c r="U48">
        <v>0</v>
      </c>
      <c r="V48">
        <v>0</v>
      </c>
      <c r="W48">
        <v>0</v>
      </c>
      <c r="X48" s="1">
        <v>46207</v>
      </c>
      <c r="Y48" t="s">
        <v>103</v>
      </c>
      <c r="Z48" t="s">
        <v>53</v>
      </c>
      <c r="AB48" t="s">
        <v>54</v>
      </c>
      <c r="AL48">
        <v>808631083</v>
      </c>
      <c r="AM48" t="s">
        <v>291</v>
      </c>
      <c r="AN48" s="1">
        <v>46215.291400462957</v>
      </c>
      <c r="AQ48" t="s">
        <v>56</v>
      </c>
      <c r="AR48" t="s">
        <v>57</v>
      </c>
      <c r="AS48" t="s">
        <v>58</v>
      </c>
      <c r="AU48" t="s">
        <v>292</v>
      </c>
      <c r="AV48">
        <v>47</v>
      </c>
    </row>
    <row r="49" spans="1:48" x14ac:dyDescent="0.35">
      <c r="A49" s="1">
        <v>46213.933531006936</v>
      </c>
      <c r="B49" s="1">
        <v>46213.934168252323</v>
      </c>
      <c r="C49" t="s">
        <v>279</v>
      </c>
      <c r="D49" s="1">
        <v>46213</v>
      </c>
      <c r="E49" t="s">
        <v>78</v>
      </c>
      <c r="G49" t="s">
        <v>128</v>
      </c>
      <c r="H49" t="s">
        <v>46</v>
      </c>
      <c r="I49" t="s">
        <v>293</v>
      </c>
      <c r="J49" t="s">
        <v>157</v>
      </c>
      <c r="K49" t="s">
        <v>88</v>
      </c>
      <c r="L49" t="s">
        <v>50</v>
      </c>
      <c r="N49" t="s">
        <v>294</v>
      </c>
      <c r="O49">
        <v>6</v>
      </c>
      <c r="P49">
        <v>2</v>
      </c>
      <c r="Q49">
        <v>0</v>
      </c>
      <c r="R49">
        <v>2</v>
      </c>
      <c r="S49">
        <v>2</v>
      </c>
      <c r="T49">
        <v>0</v>
      </c>
      <c r="U49">
        <v>0</v>
      </c>
      <c r="V49">
        <v>0</v>
      </c>
      <c r="W49">
        <v>0</v>
      </c>
      <c r="X49" s="1">
        <v>46114</v>
      </c>
      <c r="Y49" t="s">
        <v>52</v>
      </c>
      <c r="Z49" t="s">
        <v>53</v>
      </c>
      <c r="AB49" t="s">
        <v>54</v>
      </c>
      <c r="AL49">
        <v>808631089</v>
      </c>
      <c r="AM49" t="s">
        <v>295</v>
      </c>
      <c r="AN49" s="1">
        <v>46215.291412037041</v>
      </c>
      <c r="AQ49" t="s">
        <v>56</v>
      </c>
      <c r="AR49" t="s">
        <v>57</v>
      </c>
      <c r="AS49" t="s">
        <v>58</v>
      </c>
      <c r="AU49" t="s">
        <v>296</v>
      </c>
      <c r="AV49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3:C20"/>
  <sheetViews>
    <sheetView workbookViewId="0">
      <selection activeCell="A5" sqref="A5:A12"/>
    </sheetView>
  </sheetViews>
  <sheetFormatPr defaultRowHeight="14.5" x14ac:dyDescent="0.35"/>
  <cols>
    <col min="1" max="1" width="12.36328125" bestFit="1" customWidth="1"/>
    <col min="2" max="2" width="22.6328125" customWidth="1"/>
  </cols>
  <sheetData>
    <row r="3" spans="1:3" x14ac:dyDescent="0.35">
      <c r="A3" s="5"/>
      <c r="B3" s="6"/>
      <c r="C3" s="7"/>
    </row>
    <row r="4" spans="1:3" x14ac:dyDescent="0.35">
      <c r="A4" s="8"/>
      <c r="B4" s="9"/>
      <c r="C4" s="10"/>
    </row>
    <row r="5" spans="1:3" x14ac:dyDescent="0.35">
      <c r="A5" s="8"/>
      <c r="B5" s="9"/>
      <c r="C5" s="10"/>
    </row>
    <row r="6" spans="1:3" x14ac:dyDescent="0.35">
      <c r="A6" s="8"/>
      <c r="B6" s="9"/>
      <c r="C6" s="10"/>
    </row>
    <row r="7" spans="1:3" x14ac:dyDescent="0.35">
      <c r="A7" s="8"/>
      <c r="B7" s="9"/>
      <c r="C7" s="10"/>
    </row>
    <row r="8" spans="1:3" x14ac:dyDescent="0.35">
      <c r="A8" s="8"/>
      <c r="B8" s="9"/>
      <c r="C8" s="10"/>
    </row>
    <row r="9" spans="1:3" x14ac:dyDescent="0.35">
      <c r="A9" s="8"/>
      <c r="B9" s="9"/>
      <c r="C9" s="10"/>
    </row>
    <row r="10" spans="1:3" x14ac:dyDescent="0.35">
      <c r="A10" s="8"/>
      <c r="B10" s="9"/>
      <c r="C10" s="10"/>
    </row>
    <row r="11" spans="1:3" x14ac:dyDescent="0.35">
      <c r="A11" s="8"/>
      <c r="B11" s="9"/>
      <c r="C11" s="10"/>
    </row>
    <row r="12" spans="1:3" x14ac:dyDescent="0.35">
      <c r="A12" s="8"/>
      <c r="B12" s="9"/>
      <c r="C12" s="10"/>
    </row>
    <row r="13" spans="1:3" x14ac:dyDescent="0.35">
      <c r="A13" s="8"/>
      <c r="B13" s="9"/>
      <c r="C13" s="10"/>
    </row>
    <row r="14" spans="1:3" x14ac:dyDescent="0.35">
      <c r="A14" s="8"/>
      <c r="B14" s="9"/>
      <c r="C14" s="10"/>
    </row>
    <row r="15" spans="1:3" x14ac:dyDescent="0.35">
      <c r="A15" s="8"/>
      <c r="B15" s="9"/>
      <c r="C15" s="10"/>
    </row>
    <row r="16" spans="1:3" x14ac:dyDescent="0.35">
      <c r="A16" s="8"/>
      <c r="B16" s="9"/>
      <c r="C16" s="10"/>
    </row>
    <row r="17" spans="1:3" x14ac:dyDescent="0.35">
      <c r="A17" s="8"/>
      <c r="B17" s="9"/>
      <c r="C17" s="10"/>
    </row>
    <row r="18" spans="1:3" x14ac:dyDescent="0.35">
      <c r="A18" s="8"/>
      <c r="B18" s="9"/>
      <c r="C18" s="10"/>
    </row>
    <row r="19" spans="1:3" x14ac:dyDescent="0.35">
      <c r="A19" s="8"/>
      <c r="B19" s="9"/>
      <c r="C19" s="10"/>
    </row>
    <row r="20" spans="1:3" x14ac:dyDescent="0.35">
      <c r="A20" s="11"/>
      <c r="B20" s="12"/>
      <c r="C2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V43"/>
  <sheetViews>
    <sheetView tabSelected="1" zoomScaleNormal="100" workbookViewId="0">
      <selection activeCell="D9" sqref="D9"/>
    </sheetView>
  </sheetViews>
  <sheetFormatPr defaultColWidth="21.54296875" defaultRowHeight="14.5" x14ac:dyDescent="0.35"/>
  <cols>
    <col min="10" max="10" width="21.54296875" style="3"/>
    <col min="12" max="12" width="0" hidden="1" customWidth="1"/>
    <col min="14" max="14" width="11.7265625" hidden="1" customWidth="1"/>
    <col min="15" max="23" width="18.54296875" customWidth="1"/>
  </cols>
  <sheetData>
    <row r="1" spans="1:48" ht="26" x14ac:dyDescent="0.6">
      <c r="A1" s="14" t="s">
        <v>311</v>
      </c>
      <c r="B1" s="14"/>
      <c r="C1" s="14"/>
      <c r="D1" s="14"/>
      <c r="E1" s="14"/>
      <c r="F1" s="14"/>
      <c r="G1" s="14"/>
      <c r="H1" s="15" t="s">
        <v>312</v>
      </c>
      <c r="I1" s="15"/>
      <c r="J1" s="15"/>
      <c r="K1" s="15"/>
      <c r="L1" s="15"/>
      <c r="M1" s="15"/>
      <c r="O1" s="16" t="s">
        <v>313</v>
      </c>
      <c r="P1" s="17"/>
      <c r="Q1" s="17"/>
      <c r="R1" s="17"/>
      <c r="S1" s="17"/>
      <c r="T1" s="17"/>
      <c r="U1" s="17"/>
      <c r="V1" s="17"/>
      <c r="W1" s="17"/>
      <c r="X1" s="18" t="s">
        <v>314</v>
      </c>
      <c r="Y1" s="19"/>
      <c r="Z1" s="19"/>
      <c r="AA1" s="19"/>
      <c r="AB1" s="19"/>
    </row>
    <row r="2" spans="1:4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310</v>
      </c>
      <c r="G2" t="s">
        <v>6</v>
      </c>
      <c r="H2" t="s">
        <v>7</v>
      </c>
      <c r="I2" t="s">
        <v>8</v>
      </c>
      <c r="J2" s="3" t="s">
        <v>9</v>
      </c>
      <c r="K2" t="s">
        <v>10</v>
      </c>
      <c r="L2" t="s">
        <v>11</v>
      </c>
      <c r="M2" t="s">
        <v>12</v>
      </c>
      <c r="N2" t="s">
        <v>308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297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298</v>
      </c>
      <c r="AI2" t="s">
        <v>299</v>
      </c>
      <c r="AJ2" t="s">
        <v>300</v>
      </c>
      <c r="AK2" t="s">
        <v>31</v>
      </c>
      <c r="AL2" t="s">
        <v>32</v>
      </c>
      <c r="AM2" t="s">
        <v>33</v>
      </c>
      <c r="AN2" t="s">
        <v>34</v>
      </c>
      <c r="AO2" t="s">
        <v>35</v>
      </c>
      <c r="AP2" t="s">
        <v>36</v>
      </c>
      <c r="AQ2" t="s">
        <v>37</v>
      </c>
      <c r="AR2" t="s">
        <v>38</v>
      </c>
      <c r="AS2" t="s">
        <v>39</v>
      </c>
      <c r="AT2" t="s">
        <v>40</v>
      </c>
      <c r="AU2" t="s">
        <v>41</v>
      </c>
      <c r="AV2" t="s">
        <v>42</v>
      </c>
    </row>
    <row r="3" spans="1:48" x14ac:dyDescent="0.35">
      <c r="A3" s="1">
        <v>46212.854239525463</v>
      </c>
      <c r="B3" s="1">
        <v>46212.855476064811</v>
      </c>
      <c r="C3" t="s">
        <v>301</v>
      </c>
      <c r="D3" s="1">
        <v>46212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s="4">
        <v>45</v>
      </c>
      <c r="K3" t="s">
        <v>50</v>
      </c>
      <c r="M3" s="2">
        <v>12345</v>
      </c>
      <c r="N3" s="2">
        <f>SUM(Table1[[#This Row],[عدد الاناث تحت سنتين ]:[ذكورمن 60 فما فوق ]])</f>
        <v>10</v>
      </c>
      <c r="O3">
        <v>10</v>
      </c>
      <c r="P3">
        <v>2</v>
      </c>
      <c r="Q3">
        <v>2</v>
      </c>
      <c r="R3">
        <v>2</v>
      </c>
      <c r="S3">
        <v>2</v>
      </c>
      <c r="T3">
        <v>1</v>
      </c>
      <c r="U3">
        <v>1</v>
      </c>
      <c r="V3">
        <v>0</v>
      </c>
      <c r="W3">
        <v>0</v>
      </c>
      <c r="X3" s="1">
        <v>43655</v>
      </c>
      <c r="Y3" t="s">
        <v>52</v>
      </c>
      <c r="Z3" t="s">
        <v>309</v>
      </c>
      <c r="AB3" t="s">
        <v>54</v>
      </c>
      <c r="AL3">
        <v>808630840</v>
      </c>
      <c r="AM3" t="s">
        <v>55</v>
      </c>
      <c r="AN3" s="1">
        <v>46215.291030092587</v>
      </c>
      <c r="AQ3" t="s">
        <v>56</v>
      </c>
      <c r="AR3" t="s">
        <v>57</v>
      </c>
      <c r="AS3" t="s">
        <v>58</v>
      </c>
      <c r="AU3" t="s">
        <v>59</v>
      </c>
      <c r="AV3">
        <v>1</v>
      </c>
    </row>
    <row r="4" spans="1:48" x14ac:dyDescent="0.35">
      <c r="A4" s="1">
        <v>46212.855694432867</v>
      </c>
      <c r="B4" s="1">
        <v>46212.856868668983</v>
      </c>
      <c r="C4" t="s">
        <v>301</v>
      </c>
      <c r="D4" s="1">
        <v>46212</v>
      </c>
      <c r="E4" t="s">
        <v>44</v>
      </c>
      <c r="F4" t="s">
        <v>45</v>
      </c>
      <c r="G4" t="s">
        <v>46</v>
      </c>
      <c r="H4" t="s">
        <v>60</v>
      </c>
      <c r="I4" t="s">
        <v>48</v>
      </c>
      <c r="J4" s="4">
        <v>30</v>
      </c>
      <c r="K4" t="s">
        <v>62</v>
      </c>
      <c r="M4" s="2">
        <v>56805</v>
      </c>
      <c r="N4" s="2">
        <f>SUM(Table1[[#This Row],[عدد الاناث تحت سنتين ]:[ذكورمن 60 فما فوق ]])</f>
        <v>5</v>
      </c>
      <c r="O4">
        <v>5</v>
      </c>
      <c r="P4">
        <v>2</v>
      </c>
      <c r="Q4">
        <v>0</v>
      </c>
      <c r="R4">
        <v>1</v>
      </c>
      <c r="S4">
        <v>1</v>
      </c>
      <c r="T4">
        <v>1</v>
      </c>
      <c r="U4">
        <v>0</v>
      </c>
      <c r="V4">
        <v>0</v>
      </c>
      <c r="W4">
        <v>0</v>
      </c>
      <c r="X4" s="1">
        <v>45116</v>
      </c>
      <c r="Y4" t="s">
        <v>52</v>
      </c>
      <c r="Z4" t="s">
        <v>64</v>
      </c>
      <c r="AB4" t="s">
        <v>65</v>
      </c>
      <c r="AL4">
        <v>808630848</v>
      </c>
      <c r="AM4" t="s">
        <v>66</v>
      </c>
      <c r="AN4" s="1">
        <v>46215.291030092587</v>
      </c>
      <c r="AQ4" t="s">
        <v>56</v>
      </c>
      <c r="AR4" t="s">
        <v>57</v>
      </c>
      <c r="AS4" t="s">
        <v>58</v>
      </c>
      <c r="AU4" t="s">
        <v>67</v>
      </c>
      <c r="AV4">
        <v>2</v>
      </c>
    </row>
    <row r="5" spans="1:48" x14ac:dyDescent="0.35">
      <c r="A5" s="1">
        <v>46212.85697267361</v>
      </c>
      <c r="B5" s="1">
        <v>46212.857986770832</v>
      </c>
      <c r="C5" t="s">
        <v>301</v>
      </c>
      <c r="D5" s="1">
        <v>46212</v>
      </c>
      <c r="E5" t="s">
        <v>44</v>
      </c>
      <c r="F5" t="s">
        <v>68</v>
      </c>
      <c r="G5" t="s">
        <v>46</v>
      </c>
      <c r="H5" t="s">
        <v>69</v>
      </c>
      <c r="I5" t="s">
        <v>48</v>
      </c>
      <c r="J5" s="4">
        <v>68</v>
      </c>
      <c r="K5" t="s">
        <v>71</v>
      </c>
      <c r="M5" s="2">
        <v>69854</v>
      </c>
      <c r="N5" s="2">
        <f>SUM(Table1[[#This Row],[عدد الاناث تحت سنتين ]:[ذكورمن 60 فما فوق ]])</f>
        <v>8</v>
      </c>
      <c r="O5">
        <v>8</v>
      </c>
      <c r="P5">
        <v>1</v>
      </c>
      <c r="Q5">
        <v>1</v>
      </c>
      <c r="R5">
        <v>2</v>
      </c>
      <c r="S5">
        <v>2</v>
      </c>
      <c r="T5">
        <v>1</v>
      </c>
      <c r="U5">
        <v>1</v>
      </c>
      <c r="V5">
        <v>0</v>
      </c>
      <c r="W5">
        <v>0</v>
      </c>
      <c r="X5" s="1">
        <v>45847</v>
      </c>
      <c r="Y5" t="s">
        <v>73</v>
      </c>
      <c r="Z5" t="s">
        <v>74</v>
      </c>
      <c r="AB5" t="s">
        <v>54</v>
      </c>
      <c r="AL5">
        <v>808630854</v>
      </c>
      <c r="AM5" t="s">
        <v>75</v>
      </c>
      <c r="AN5" s="1">
        <v>46215.291041666656</v>
      </c>
      <c r="AQ5" t="s">
        <v>56</v>
      </c>
      <c r="AR5" t="s">
        <v>57</v>
      </c>
      <c r="AS5" t="s">
        <v>58</v>
      </c>
      <c r="AU5" t="s">
        <v>76</v>
      </c>
      <c r="AV5">
        <v>3</v>
      </c>
    </row>
    <row r="6" spans="1:48" x14ac:dyDescent="0.35">
      <c r="A6" s="1">
        <v>46212.858131458343</v>
      </c>
      <c r="B6" s="1">
        <v>46212.859280092591</v>
      </c>
      <c r="C6" t="s">
        <v>301</v>
      </c>
      <c r="D6" s="1">
        <v>46212</v>
      </c>
      <c r="E6" t="s">
        <v>78</v>
      </c>
      <c r="F6" t="s">
        <v>79</v>
      </c>
      <c r="G6" t="s">
        <v>46</v>
      </c>
      <c r="H6" t="s">
        <v>80</v>
      </c>
      <c r="I6" t="s">
        <v>48</v>
      </c>
      <c r="J6" s="4">
        <v>80</v>
      </c>
      <c r="K6" t="s">
        <v>62</v>
      </c>
      <c r="M6" s="2">
        <v>74125</v>
      </c>
      <c r="N6" s="2">
        <f>SUM(Table1[[#This Row],[عدد الاناث تحت سنتين ]:[ذكورمن 60 فما فوق ]])</f>
        <v>12</v>
      </c>
      <c r="O6">
        <v>10</v>
      </c>
      <c r="P6">
        <v>4</v>
      </c>
      <c r="Q6">
        <v>4</v>
      </c>
      <c r="R6">
        <v>1</v>
      </c>
      <c r="S6">
        <v>1</v>
      </c>
      <c r="T6">
        <v>2</v>
      </c>
      <c r="U6">
        <v>0</v>
      </c>
      <c r="V6">
        <v>0</v>
      </c>
      <c r="W6">
        <v>0</v>
      </c>
      <c r="X6" s="1">
        <v>45482</v>
      </c>
      <c r="Y6" t="s">
        <v>83</v>
      </c>
      <c r="Z6" t="s">
        <v>74</v>
      </c>
      <c r="AB6" t="s">
        <v>54</v>
      </c>
      <c r="AL6">
        <v>808630860</v>
      </c>
      <c r="AM6" t="s">
        <v>84</v>
      </c>
      <c r="AN6" s="1">
        <v>46215.291041666656</v>
      </c>
      <c r="AQ6" t="s">
        <v>56</v>
      </c>
      <c r="AR6" t="s">
        <v>57</v>
      </c>
      <c r="AS6" t="s">
        <v>58</v>
      </c>
      <c r="AU6" t="s">
        <v>85</v>
      </c>
      <c r="AV6">
        <v>4</v>
      </c>
    </row>
    <row r="7" spans="1:48" x14ac:dyDescent="0.35">
      <c r="A7" s="1">
        <v>46212.859421886576</v>
      </c>
      <c r="B7" s="1">
        <v>46212.860798055553</v>
      </c>
      <c r="C7" t="s">
        <v>301</v>
      </c>
      <c r="D7" s="1">
        <v>46212</v>
      </c>
      <c r="E7" t="s">
        <v>78</v>
      </c>
      <c r="F7" t="s">
        <v>86</v>
      </c>
      <c r="G7" t="s">
        <v>46</v>
      </c>
      <c r="H7" t="s">
        <v>87</v>
      </c>
      <c r="I7" t="s">
        <v>48</v>
      </c>
      <c r="J7" s="4">
        <v>35</v>
      </c>
      <c r="K7" t="s">
        <v>89</v>
      </c>
      <c r="M7" s="2">
        <v>69853</v>
      </c>
      <c r="N7" s="2">
        <f>SUM(Table1[[#This Row],[عدد الاناث تحت سنتين ]:[ذكورمن 60 فما فوق ]])</f>
        <v>7</v>
      </c>
      <c r="O7">
        <v>7</v>
      </c>
      <c r="P7">
        <v>0</v>
      </c>
      <c r="Q7">
        <v>0</v>
      </c>
      <c r="R7">
        <v>2</v>
      </c>
      <c r="S7">
        <v>2</v>
      </c>
      <c r="T7">
        <v>3</v>
      </c>
      <c r="U7">
        <v>0</v>
      </c>
      <c r="V7">
        <v>0</v>
      </c>
      <c r="W7">
        <v>0</v>
      </c>
      <c r="X7" s="1">
        <v>43290</v>
      </c>
      <c r="Y7" t="s">
        <v>73</v>
      </c>
      <c r="Z7" t="s">
        <v>64</v>
      </c>
      <c r="AB7" t="s">
        <v>54</v>
      </c>
      <c r="AL7">
        <v>808630865</v>
      </c>
      <c r="AM7" t="s">
        <v>91</v>
      </c>
      <c r="AN7" s="1">
        <v>46215.29105324074</v>
      </c>
      <c r="AQ7" t="s">
        <v>56</v>
      </c>
      <c r="AR7" t="s">
        <v>57</v>
      </c>
      <c r="AS7" t="s">
        <v>58</v>
      </c>
      <c r="AU7" t="s">
        <v>92</v>
      </c>
      <c r="AV7">
        <v>5</v>
      </c>
    </row>
    <row r="8" spans="1:48" x14ac:dyDescent="0.35">
      <c r="A8" s="1">
        <v>46212.86282234954</v>
      </c>
      <c r="B8" s="1">
        <v>46212.863838379628</v>
      </c>
      <c r="C8" t="s">
        <v>302</v>
      </c>
      <c r="D8" s="1">
        <v>46212</v>
      </c>
      <c r="E8" t="s">
        <v>78</v>
      </c>
      <c r="F8" t="s">
        <v>98</v>
      </c>
      <c r="G8" t="s">
        <v>46</v>
      </c>
      <c r="H8" t="s">
        <v>99</v>
      </c>
      <c r="I8" t="s">
        <v>48</v>
      </c>
      <c r="J8" s="4">
        <v>40</v>
      </c>
      <c r="K8" t="s">
        <v>89</v>
      </c>
      <c r="M8" s="2">
        <v>25802</v>
      </c>
      <c r="N8" s="2">
        <f>SUM(Table1[[#This Row],[عدد الاناث تحت سنتين ]:[ذكورمن 60 فما فوق ]])</f>
        <v>8</v>
      </c>
      <c r="O8">
        <v>8</v>
      </c>
      <c r="P8">
        <v>1</v>
      </c>
      <c r="Q8">
        <v>0</v>
      </c>
      <c r="R8">
        <v>1</v>
      </c>
      <c r="S8">
        <v>2</v>
      </c>
      <c r="T8">
        <v>2</v>
      </c>
      <c r="U8">
        <v>2</v>
      </c>
      <c r="V8">
        <v>0</v>
      </c>
      <c r="W8">
        <v>0</v>
      </c>
      <c r="X8" s="1">
        <v>46153</v>
      </c>
      <c r="Y8" t="s">
        <v>103</v>
      </c>
      <c r="Z8" t="s">
        <v>64</v>
      </c>
      <c r="AB8" t="s">
        <v>54</v>
      </c>
      <c r="AL8">
        <v>808630884</v>
      </c>
      <c r="AM8" t="s">
        <v>104</v>
      </c>
      <c r="AN8" s="1">
        <v>46215.291076388887</v>
      </c>
      <c r="AQ8" t="s">
        <v>56</v>
      </c>
      <c r="AR8" t="s">
        <v>57</v>
      </c>
      <c r="AS8" t="s">
        <v>307</v>
      </c>
      <c r="AU8" t="s">
        <v>105</v>
      </c>
      <c r="AV8">
        <v>7</v>
      </c>
    </row>
    <row r="9" spans="1:48" x14ac:dyDescent="0.35">
      <c r="A9" s="1">
        <v>46212.863946736114</v>
      </c>
      <c r="B9" s="1">
        <v>46212.865011111113</v>
      </c>
      <c r="C9" t="s">
        <v>302</v>
      </c>
      <c r="D9" s="1">
        <v>46212</v>
      </c>
      <c r="E9" t="s">
        <v>78</v>
      </c>
      <c r="F9" t="s">
        <v>79</v>
      </c>
      <c r="G9" t="s">
        <v>46</v>
      </c>
      <c r="H9" t="s">
        <v>107</v>
      </c>
      <c r="I9" t="s">
        <v>48</v>
      </c>
      <c r="J9" s="4">
        <v>45</v>
      </c>
      <c r="K9" t="s">
        <v>50</v>
      </c>
      <c r="M9" s="2">
        <v>14780</v>
      </c>
      <c r="N9" s="2">
        <f>SUM(Table1[[#This Row],[عدد الاناث تحت سنتين ]:[ذكورمن 60 فما فوق ]])</f>
        <v>9</v>
      </c>
      <c r="O9">
        <v>9</v>
      </c>
      <c r="P9">
        <v>2</v>
      </c>
      <c r="Q9">
        <v>0</v>
      </c>
      <c r="R9">
        <v>2</v>
      </c>
      <c r="S9">
        <v>2</v>
      </c>
      <c r="T9">
        <v>3</v>
      </c>
      <c r="U9">
        <v>0</v>
      </c>
      <c r="V9">
        <v>0</v>
      </c>
      <c r="W9">
        <v>0</v>
      </c>
      <c r="X9" s="1">
        <v>44751</v>
      </c>
      <c r="Y9" t="s">
        <v>73</v>
      </c>
      <c r="Z9" t="s">
        <v>309</v>
      </c>
      <c r="AB9" t="s">
        <v>54</v>
      </c>
      <c r="AL9">
        <v>808630887</v>
      </c>
      <c r="AM9" t="s">
        <v>109</v>
      </c>
      <c r="AN9" s="1">
        <v>46215.291087962964</v>
      </c>
      <c r="AQ9" t="s">
        <v>56</v>
      </c>
      <c r="AR9" t="s">
        <v>57</v>
      </c>
      <c r="AS9" t="s">
        <v>58</v>
      </c>
      <c r="AU9" t="s">
        <v>110</v>
      </c>
      <c r="AV9">
        <v>8</v>
      </c>
    </row>
    <row r="10" spans="1:48" x14ac:dyDescent="0.35">
      <c r="A10" s="1">
        <v>46212.865076064823</v>
      </c>
      <c r="B10" s="1">
        <v>46212.866349074073</v>
      </c>
      <c r="C10" t="s">
        <v>302</v>
      </c>
      <c r="D10" s="1">
        <v>46212</v>
      </c>
      <c r="E10" t="s">
        <v>78</v>
      </c>
      <c r="F10" t="s">
        <v>111</v>
      </c>
      <c r="G10" t="s">
        <v>46</v>
      </c>
      <c r="H10" t="s">
        <v>112</v>
      </c>
      <c r="I10" t="s">
        <v>48</v>
      </c>
      <c r="J10" s="4">
        <v>29</v>
      </c>
      <c r="K10" t="s">
        <v>89</v>
      </c>
      <c r="M10" s="2">
        <v>36587</v>
      </c>
      <c r="N10" s="2">
        <f>SUM(Table1[[#This Row],[عدد الاناث تحت سنتين ]:[ذكورمن 60 فما فوق ]])</f>
        <v>5</v>
      </c>
      <c r="O10">
        <v>5</v>
      </c>
      <c r="P10">
        <v>1</v>
      </c>
      <c r="Q10">
        <v>0</v>
      </c>
      <c r="R10">
        <v>2</v>
      </c>
      <c r="S10">
        <v>2</v>
      </c>
      <c r="T10">
        <v>0</v>
      </c>
      <c r="U10">
        <v>0</v>
      </c>
      <c r="V10">
        <v>0</v>
      </c>
      <c r="W10">
        <v>0</v>
      </c>
      <c r="X10" s="1">
        <v>45847</v>
      </c>
      <c r="Y10" t="s">
        <v>103</v>
      </c>
      <c r="Z10" t="s">
        <v>74</v>
      </c>
      <c r="AB10" t="s">
        <v>54</v>
      </c>
      <c r="AL10">
        <v>808630895</v>
      </c>
      <c r="AM10" t="s">
        <v>115</v>
      </c>
      <c r="AN10" s="1">
        <v>46215.29109953704</v>
      </c>
      <c r="AO10" t="s">
        <v>307</v>
      </c>
      <c r="AQ10" t="s">
        <v>56</v>
      </c>
      <c r="AR10" t="s">
        <v>57</v>
      </c>
      <c r="AS10" t="s">
        <v>58</v>
      </c>
      <c r="AU10" t="s">
        <v>116</v>
      </c>
      <c r="AV10">
        <v>9</v>
      </c>
    </row>
    <row r="11" spans="1:48" x14ac:dyDescent="0.35">
      <c r="A11" s="1">
        <v>46212.867785347233</v>
      </c>
      <c r="B11" s="1">
        <v>46212.870463749998</v>
      </c>
      <c r="C11" t="s">
        <v>302</v>
      </c>
      <c r="D11" s="1">
        <v>46212</v>
      </c>
      <c r="E11" t="s">
        <v>44</v>
      </c>
      <c r="F11" t="s">
        <v>122</v>
      </c>
      <c r="G11" t="s">
        <v>46</v>
      </c>
      <c r="H11" t="s">
        <v>123</v>
      </c>
      <c r="I11" t="s">
        <v>48</v>
      </c>
      <c r="J11" s="4">
        <v>31</v>
      </c>
      <c r="K11" t="s">
        <v>50</v>
      </c>
      <c r="M11" s="2">
        <v>36980</v>
      </c>
      <c r="N11" s="2">
        <f>SUM(Table1[[#This Row],[عدد الاناث تحت سنتين ]:[ذكورمن 60 فما فوق ]])</f>
        <v>10</v>
      </c>
      <c r="O11">
        <v>10</v>
      </c>
      <c r="P11">
        <v>2</v>
      </c>
      <c r="Q11">
        <v>0</v>
      </c>
      <c r="R11">
        <v>0</v>
      </c>
      <c r="S11">
        <v>3</v>
      </c>
      <c r="T11">
        <v>3</v>
      </c>
      <c r="U11">
        <v>2</v>
      </c>
      <c r="V11">
        <v>0</v>
      </c>
      <c r="W11">
        <v>0</v>
      </c>
      <c r="X11" s="1">
        <v>46216</v>
      </c>
      <c r="Y11" t="s">
        <v>52</v>
      </c>
      <c r="Z11" t="s">
        <v>309</v>
      </c>
      <c r="AB11" t="s">
        <v>54</v>
      </c>
      <c r="AL11">
        <v>808630905</v>
      </c>
      <c r="AM11" t="s">
        <v>126</v>
      </c>
      <c r="AN11" s="1">
        <v>46215.29111111111</v>
      </c>
      <c r="AQ11" t="s">
        <v>56</v>
      </c>
      <c r="AR11" t="s">
        <v>57</v>
      </c>
      <c r="AS11" t="s">
        <v>58</v>
      </c>
      <c r="AU11" t="s">
        <v>127</v>
      </c>
      <c r="AV11">
        <v>11</v>
      </c>
    </row>
    <row r="12" spans="1:48" x14ac:dyDescent="0.35">
      <c r="A12" s="1">
        <v>46212.871028564812</v>
      </c>
      <c r="B12" s="1">
        <v>46212.872003310193</v>
      </c>
      <c r="C12" t="s">
        <v>302</v>
      </c>
      <c r="D12" s="1">
        <v>46212</v>
      </c>
      <c r="E12" t="s">
        <v>78</v>
      </c>
      <c r="F12" t="s">
        <v>128</v>
      </c>
      <c r="G12" t="s">
        <v>46</v>
      </c>
      <c r="H12" t="s">
        <v>129</v>
      </c>
      <c r="I12" t="s">
        <v>48</v>
      </c>
      <c r="J12" s="4">
        <v>31</v>
      </c>
      <c r="K12" t="s">
        <v>62</v>
      </c>
      <c r="M12" s="2">
        <v>8569</v>
      </c>
      <c r="N12" s="2">
        <f>SUM(Table1[[#This Row],[عدد الاناث تحت سنتين ]:[ذكورمن 60 فما فوق ]])</f>
        <v>5</v>
      </c>
      <c r="O12">
        <v>5</v>
      </c>
      <c r="P12">
        <v>1</v>
      </c>
      <c r="Q12">
        <v>0</v>
      </c>
      <c r="R12">
        <v>2</v>
      </c>
      <c r="S12">
        <v>2</v>
      </c>
      <c r="T12">
        <v>0</v>
      </c>
      <c r="U12">
        <v>0</v>
      </c>
      <c r="V12">
        <v>0</v>
      </c>
      <c r="W12">
        <v>0</v>
      </c>
      <c r="X12" s="1">
        <v>42925</v>
      </c>
      <c r="Y12" t="s">
        <v>52</v>
      </c>
      <c r="Z12" t="s">
        <v>74</v>
      </c>
      <c r="AB12" t="s">
        <v>54</v>
      </c>
      <c r="AL12">
        <v>808630910</v>
      </c>
      <c r="AM12" t="s">
        <v>131</v>
      </c>
      <c r="AN12" s="1">
        <v>46215.291122685187</v>
      </c>
      <c r="AQ12" t="s">
        <v>56</v>
      </c>
      <c r="AR12" t="s">
        <v>57</v>
      </c>
      <c r="AS12" t="s">
        <v>58</v>
      </c>
      <c r="AU12" t="s">
        <v>132</v>
      </c>
      <c r="AV12">
        <v>12</v>
      </c>
    </row>
    <row r="13" spans="1:48" x14ac:dyDescent="0.35">
      <c r="A13" s="1">
        <v>46212.872248819447</v>
      </c>
      <c r="B13" s="1">
        <v>46212.873323715277</v>
      </c>
      <c r="C13" t="s">
        <v>302</v>
      </c>
      <c r="D13" s="1">
        <v>46212</v>
      </c>
      <c r="E13" t="s">
        <v>78</v>
      </c>
      <c r="F13" t="s">
        <v>134</v>
      </c>
      <c r="G13" t="s">
        <v>46</v>
      </c>
      <c r="H13" t="s">
        <v>135</v>
      </c>
      <c r="I13" t="s">
        <v>48</v>
      </c>
      <c r="J13" s="4">
        <v>26</v>
      </c>
      <c r="K13" t="s">
        <v>62</v>
      </c>
      <c r="M13" s="2">
        <v>45678</v>
      </c>
      <c r="N13" s="2">
        <f>SUM(Table1[[#This Row],[عدد الاناث تحت سنتين ]:[ذكورمن 60 فما فوق ]])</f>
        <v>8</v>
      </c>
      <c r="O13">
        <v>8</v>
      </c>
      <c r="P13">
        <v>2</v>
      </c>
      <c r="Q13">
        <v>0</v>
      </c>
      <c r="R13">
        <v>2</v>
      </c>
      <c r="S13">
        <v>2</v>
      </c>
      <c r="T13">
        <v>2</v>
      </c>
      <c r="U13">
        <v>0</v>
      </c>
      <c r="V13">
        <v>0</v>
      </c>
      <c r="W13">
        <v>0</v>
      </c>
      <c r="X13" s="1">
        <v>45116</v>
      </c>
      <c r="Y13" t="s">
        <v>103</v>
      </c>
      <c r="Z13" t="s">
        <v>53</v>
      </c>
      <c r="AB13" t="s">
        <v>54</v>
      </c>
      <c r="AL13">
        <v>808630915</v>
      </c>
      <c r="AM13" t="s">
        <v>137</v>
      </c>
      <c r="AN13" s="1">
        <v>46215.291122685187</v>
      </c>
      <c r="AQ13" t="s">
        <v>56</v>
      </c>
      <c r="AR13" t="s">
        <v>57</v>
      </c>
      <c r="AS13" t="s">
        <v>58</v>
      </c>
      <c r="AU13" t="s">
        <v>138</v>
      </c>
      <c r="AV13">
        <v>13</v>
      </c>
    </row>
    <row r="14" spans="1:48" x14ac:dyDescent="0.35">
      <c r="A14" s="1">
        <v>46213.530976782407</v>
      </c>
      <c r="B14" s="1">
        <v>46213.531899212961</v>
      </c>
      <c r="C14" t="s">
        <v>303</v>
      </c>
      <c r="D14" s="1">
        <v>46213</v>
      </c>
      <c r="E14" t="s">
        <v>44</v>
      </c>
      <c r="F14" t="s">
        <v>142</v>
      </c>
      <c r="G14" t="s">
        <v>46</v>
      </c>
      <c r="H14" t="s">
        <v>143</v>
      </c>
      <c r="I14" t="s">
        <v>48</v>
      </c>
      <c r="J14" s="4">
        <v>58</v>
      </c>
      <c r="K14" t="s">
        <v>50</v>
      </c>
      <c r="M14" s="2">
        <v>8523</v>
      </c>
      <c r="N14" s="2">
        <f>SUM(Table1[[#This Row],[عدد الاناث تحت سنتين ]:[ذكورمن 60 فما فوق ]])</f>
        <v>8</v>
      </c>
      <c r="O14">
        <v>8</v>
      </c>
      <c r="P14">
        <v>2</v>
      </c>
      <c r="Q14">
        <v>0</v>
      </c>
      <c r="R14">
        <v>2</v>
      </c>
      <c r="S14">
        <v>2</v>
      </c>
      <c r="T14">
        <v>2</v>
      </c>
      <c r="U14">
        <v>0</v>
      </c>
      <c r="V14">
        <v>0</v>
      </c>
      <c r="W14">
        <v>0</v>
      </c>
      <c r="X14" s="1">
        <v>46152</v>
      </c>
      <c r="Y14" t="s">
        <v>52</v>
      </c>
      <c r="Z14" t="s">
        <v>309</v>
      </c>
      <c r="AB14" t="s">
        <v>54</v>
      </c>
      <c r="AL14">
        <v>808630924</v>
      </c>
      <c r="AM14" t="s">
        <v>146</v>
      </c>
      <c r="AN14" s="1">
        <v>46215.291134259263</v>
      </c>
      <c r="AQ14" t="s">
        <v>56</v>
      </c>
      <c r="AR14" t="s">
        <v>57</v>
      </c>
      <c r="AS14" t="s">
        <v>58</v>
      </c>
      <c r="AU14" t="s">
        <v>147</v>
      </c>
      <c r="AV14">
        <v>15</v>
      </c>
    </row>
    <row r="15" spans="1:48" x14ac:dyDescent="0.35">
      <c r="A15" s="1">
        <v>46213.532129363433</v>
      </c>
      <c r="B15" s="1">
        <v>46213.533239444441</v>
      </c>
      <c r="C15" t="s">
        <v>303</v>
      </c>
      <c r="D15" s="1">
        <v>46213</v>
      </c>
      <c r="E15" t="s">
        <v>44</v>
      </c>
      <c r="F15" t="s">
        <v>149</v>
      </c>
      <c r="G15" t="s">
        <v>46</v>
      </c>
      <c r="H15" t="s">
        <v>150</v>
      </c>
      <c r="I15" t="s">
        <v>48</v>
      </c>
      <c r="J15" s="4">
        <v>36</v>
      </c>
      <c r="K15" t="s">
        <v>50</v>
      </c>
      <c r="M15" s="2">
        <v>48095</v>
      </c>
      <c r="N15" s="2">
        <f>SUM(Table1[[#This Row],[عدد الاناث تحت سنتين ]:[ذكورمن 60 فما فوق ]])</f>
        <v>5</v>
      </c>
      <c r="O15">
        <v>5</v>
      </c>
      <c r="P15">
        <v>1</v>
      </c>
      <c r="Q15">
        <v>0</v>
      </c>
      <c r="R15">
        <v>2</v>
      </c>
      <c r="S15">
        <v>2</v>
      </c>
      <c r="T15">
        <v>0</v>
      </c>
      <c r="U15">
        <v>0</v>
      </c>
      <c r="V15">
        <v>0</v>
      </c>
      <c r="W15">
        <v>0</v>
      </c>
      <c r="X15" s="1">
        <v>45483</v>
      </c>
      <c r="Y15" t="s">
        <v>83</v>
      </c>
      <c r="Z15" t="s">
        <v>64</v>
      </c>
      <c r="AB15" t="s">
        <v>54</v>
      </c>
      <c r="AL15">
        <v>808630929</v>
      </c>
      <c r="AM15" t="s">
        <v>153</v>
      </c>
      <c r="AN15" s="1">
        <v>46215.291145833333</v>
      </c>
      <c r="AQ15" t="s">
        <v>56</v>
      </c>
      <c r="AR15" t="s">
        <v>57</v>
      </c>
      <c r="AS15" t="s">
        <v>58</v>
      </c>
      <c r="AU15" t="s">
        <v>154</v>
      </c>
      <c r="AV15">
        <v>16</v>
      </c>
    </row>
    <row r="16" spans="1:48" x14ac:dyDescent="0.35">
      <c r="A16" s="1">
        <v>46213.533414108802</v>
      </c>
      <c r="B16" s="1">
        <v>46213.534663553241</v>
      </c>
      <c r="C16" t="s">
        <v>303</v>
      </c>
      <c r="D16" s="1">
        <v>46213</v>
      </c>
      <c r="E16" t="s">
        <v>44</v>
      </c>
      <c r="F16" t="s">
        <v>45</v>
      </c>
      <c r="G16" t="s">
        <v>46</v>
      </c>
      <c r="H16" t="s">
        <v>156</v>
      </c>
      <c r="I16" t="s">
        <v>157</v>
      </c>
      <c r="J16" s="4">
        <v>30</v>
      </c>
      <c r="K16" t="s">
        <v>62</v>
      </c>
      <c r="M16" s="2">
        <v>41207</v>
      </c>
      <c r="N16" s="2">
        <f>SUM(Table1[[#This Row],[عدد الاناث تحت سنتين ]:[ذكورمن 60 فما فوق ]])</f>
        <v>10</v>
      </c>
      <c r="O16">
        <v>10</v>
      </c>
      <c r="P16">
        <v>0</v>
      </c>
      <c r="Q16">
        <v>0</v>
      </c>
      <c r="R16">
        <v>3</v>
      </c>
      <c r="S16">
        <v>3</v>
      </c>
      <c r="T16">
        <v>2</v>
      </c>
      <c r="U16">
        <v>2</v>
      </c>
      <c r="V16">
        <v>0</v>
      </c>
      <c r="W16">
        <v>0</v>
      </c>
      <c r="X16" s="1">
        <v>44022</v>
      </c>
      <c r="Y16" t="s">
        <v>52</v>
      </c>
      <c r="Z16" t="s">
        <v>309</v>
      </c>
      <c r="AB16" t="s">
        <v>54</v>
      </c>
      <c r="AL16">
        <v>808630932</v>
      </c>
      <c r="AM16" t="s">
        <v>159</v>
      </c>
      <c r="AN16" s="1">
        <v>46215.291145833333</v>
      </c>
      <c r="AQ16" t="s">
        <v>56</v>
      </c>
      <c r="AR16" t="s">
        <v>57</v>
      </c>
      <c r="AS16" t="s">
        <v>58</v>
      </c>
      <c r="AU16" t="s">
        <v>160</v>
      </c>
      <c r="AV16">
        <v>17</v>
      </c>
    </row>
    <row r="17" spans="1:48" x14ac:dyDescent="0.35">
      <c r="A17" s="1">
        <v>46213.534766736113</v>
      </c>
      <c r="B17" s="1">
        <v>46213.536062199077</v>
      </c>
      <c r="C17" t="s">
        <v>303</v>
      </c>
      <c r="D17" s="1">
        <v>46213</v>
      </c>
      <c r="E17" t="s">
        <v>44</v>
      </c>
      <c r="F17" t="s">
        <v>161</v>
      </c>
      <c r="G17" t="s">
        <v>46</v>
      </c>
      <c r="H17" t="s">
        <v>162</v>
      </c>
      <c r="I17" t="s">
        <v>157</v>
      </c>
      <c r="J17" s="4">
        <v>29</v>
      </c>
      <c r="K17" t="s">
        <v>89</v>
      </c>
      <c r="M17" s="2">
        <v>47921</v>
      </c>
      <c r="N17" s="2">
        <f>SUM(Table1[[#This Row],[عدد الاناث تحت سنتين ]:[ذكورمن 60 فما فوق ]])</f>
        <v>5</v>
      </c>
      <c r="O17">
        <v>5</v>
      </c>
      <c r="P17">
        <v>0</v>
      </c>
      <c r="Q17">
        <v>2</v>
      </c>
      <c r="R17">
        <v>3</v>
      </c>
      <c r="S17">
        <v>0</v>
      </c>
      <c r="T17">
        <v>0</v>
      </c>
      <c r="U17">
        <v>0</v>
      </c>
      <c r="V17">
        <v>0</v>
      </c>
      <c r="W17">
        <v>0</v>
      </c>
      <c r="X17" s="1">
        <v>45848</v>
      </c>
      <c r="Y17" t="s">
        <v>52</v>
      </c>
      <c r="Z17" t="s">
        <v>309</v>
      </c>
      <c r="AB17" t="s">
        <v>54</v>
      </c>
      <c r="AL17">
        <v>808630939</v>
      </c>
      <c r="AM17" t="s">
        <v>164</v>
      </c>
      <c r="AN17" s="1">
        <v>46215.29115740741</v>
      </c>
      <c r="AQ17" t="s">
        <v>56</v>
      </c>
      <c r="AR17" t="s">
        <v>57</v>
      </c>
      <c r="AS17" t="s">
        <v>58</v>
      </c>
      <c r="AU17" t="s">
        <v>165</v>
      </c>
      <c r="AV17">
        <v>18</v>
      </c>
    </row>
    <row r="18" spans="1:48" x14ac:dyDescent="0.35">
      <c r="A18" s="1">
        <v>46213.536125289349</v>
      </c>
      <c r="B18" s="1">
        <v>46213.537008715277</v>
      </c>
      <c r="C18" t="s">
        <v>303</v>
      </c>
      <c r="D18" s="1">
        <v>46213</v>
      </c>
      <c r="E18" t="s">
        <v>78</v>
      </c>
      <c r="F18" t="s">
        <v>134</v>
      </c>
      <c r="G18" t="s">
        <v>46</v>
      </c>
      <c r="H18" t="s">
        <v>166</v>
      </c>
      <c r="I18" t="s">
        <v>157</v>
      </c>
      <c r="J18" s="4">
        <v>35</v>
      </c>
      <c r="K18" t="s">
        <v>71</v>
      </c>
      <c r="M18" s="2">
        <v>73861</v>
      </c>
      <c r="N18" s="2">
        <f>SUM(Table1[[#This Row],[عدد الاناث تحت سنتين ]:[ذكورمن 60 فما فوق ]])</f>
        <v>10</v>
      </c>
      <c r="O18">
        <v>10</v>
      </c>
      <c r="P18">
        <v>2</v>
      </c>
      <c r="Q18">
        <v>0</v>
      </c>
      <c r="R18">
        <v>4</v>
      </c>
      <c r="S18">
        <v>4</v>
      </c>
      <c r="T18">
        <v>0</v>
      </c>
      <c r="U18">
        <v>0</v>
      </c>
      <c r="V18">
        <v>0</v>
      </c>
      <c r="W18">
        <v>0</v>
      </c>
      <c r="X18" s="1">
        <v>44387</v>
      </c>
      <c r="Y18" t="s">
        <v>103</v>
      </c>
      <c r="Z18" t="s">
        <v>53</v>
      </c>
      <c r="AB18" t="s">
        <v>54</v>
      </c>
      <c r="AL18">
        <v>808630943</v>
      </c>
      <c r="AM18" t="s">
        <v>168</v>
      </c>
      <c r="AN18" s="1">
        <v>46215.29115740741</v>
      </c>
      <c r="AQ18" t="s">
        <v>56</v>
      </c>
      <c r="AR18" t="s">
        <v>57</v>
      </c>
      <c r="AS18" t="s">
        <v>58</v>
      </c>
      <c r="AU18" t="s">
        <v>169</v>
      </c>
      <c r="AV18">
        <v>19</v>
      </c>
    </row>
    <row r="19" spans="1:48" x14ac:dyDescent="0.35">
      <c r="A19" s="1">
        <v>46213.605024884258</v>
      </c>
      <c r="B19" s="1">
        <v>46213.606584594912</v>
      </c>
      <c r="C19" t="s">
        <v>304</v>
      </c>
      <c r="D19" s="1">
        <v>46213</v>
      </c>
      <c r="E19" t="s">
        <v>78</v>
      </c>
      <c r="F19" t="s">
        <v>134</v>
      </c>
      <c r="G19" t="s">
        <v>46</v>
      </c>
      <c r="H19" t="s">
        <v>171</v>
      </c>
      <c r="I19" t="s">
        <v>48</v>
      </c>
      <c r="J19" s="4">
        <v>60</v>
      </c>
      <c r="K19" t="s">
        <v>50</v>
      </c>
      <c r="M19" s="2">
        <v>5874</v>
      </c>
      <c r="N19" s="2">
        <f>SUM(Table1[[#This Row],[عدد الاناث تحت سنتين ]:[ذكورمن 60 فما فوق ]])</f>
        <v>10</v>
      </c>
      <c r="O19">
        <v>10</v>
      </c>
      <c r="P19">
        <v>2</v>
      </c>
      <c r="Q19">
        <v>0</v>
      </c>
      <c r="R19">
        <v>4</v>
      </c>
      <c r="S19">
        <v>2</v>
      </c>
      <c r="T19">
        <v>2</v>
      </c>
      <c r="U19">
        <v>0</v>
      </c>
      <c r="V19">
        <v>0</v>
      </c>
      <c r="W19">
        <v>0</v>
      </c>
      <c r="X19" s="1">
        <v>44022</v>
      </c>
      <c r="Y19" t="s">
        <v>73</v>
      </c>
      <c r="Z19" t="s">
        <v>309</v>
      </c>
      <c r="AB19" t="s">
        <v>174</v>
      </c>
      <c r="AL19">
        <v>808630947</v>
      </c>
      <c r="AM19" t="s">
        <v>175</v>
      </c>
      <c r="AN19" s="1">
        <v>46215.291168981479</v>
      </c>
      <c r="AQ19" t="s">
        <v>56</v>
      </c>
      <c r="AR19" t="s">
        <v>57</v>
      </c>
      <c r="AS19" t="s">
        <v>58</v>
      </c>
      <c r="AU19" t="s">
        <v>176</v>
      </c>
      <c r="AV19">
        <v>20</v>
      </c>
    </row>
    <row r="20" spans="1:48" x14ac:dyDescent="0.35">
      <c r="A20" s="1">
        <v>46213.606634733798</v>
      </c>
      <c r="B20" s="1">
        <v>46213.607431539349</v>
      </c>
      <c r="C20" t="s">
        <v>304</v>
      </c>
      <c r="D20" s="1">
        <v>46213</v>
      </c>
      <c r="E20" t="s">
        <v>78</v>
      </c>
      <c r="F20" t="s">
        <v>134</v>
      </c>
      <c r="G20" t="s">
        <v>46</v>
      </c>
      <c r="H20" t="s">
        <v>177</v>
      </c>
      <c r="I20" t="s">
        <v>48</v>
      </c>
      <c r="J20" s="4">
        <v>28</v>
      </c>
      <c r="K20" t="s">
        <v>71</v>
      </c>
      <c r="M20" s="2">
        <v>97854</v>
      </c>
      <c r="N20" s="2">
        <f>SUM(Table1[[#This Row],[عدد الاناث تحت سنتين ]:[ذكورمن 60 فما فوق ]])</f>
        <v>8</v>
      </c>
      <c r="O20">
        <v>8</v>
      </c>
      <c r="P20">
        <v>0</v>
      </c>
      <c r="Q20">
        <v>2</v>
      </c>
      <c r="R20">
        <v>2</v>
      </c>
      <c r="S20">
        <v>2</v>
      </c>
      <c r="T20">
        <v>2</v>
      </c>
      <c r="U20">
        <v>0</v>
      </c>
      <c r="V20">
        <v>0</v>
      </c>
      <c r="W20">
        <v>0</v>
      </c>
      <c r="X20" s="1">
        <v>41830</v>
      </c>
      <c r="Y20" t="s">
        <v>103</v>
      </c>
      <c r="Z20" t="s">
        <v>64</v>
      </c>
      <c r="AB20" t="s">
        <v>54</v>
      </c>
      <c r="AL20">
        <v>808630952</v>
      </c>
      <c r="AM20" t="s">
        <v>180</v>
      </c>
      <c r="AN20" s="1">
        <v>46215.291168981479</v>
      </c>
      <c r="AQ20" t="s">
        <v>56</v>
      </c>
      <c r="AR20" t="s">
        <v>57</v>
      </c>
      <c r="AS20" t="s">
        <v>58</v>
      </c>
      <c r="AU20" t="s">
        <v>181</v>
      </c>
      <c r="AV20">
        <v>21</v>
      </c>
    </row>
    <row r="21" spans="1:48" x14ac:dyDescent="0.35">
      <c r="A21" s="1">
        <v>46213.607514930547</v>
      </c>
      <c r="B21" s="1">
        <v>46213.608315069447</v>
      </c>
      <c r="C21" t="s">
        <v>304</v>
      </c>
      <c r="D21" s="1">
        <v>46213</v>
      </c>
      <c r="E21" t="s">
        <v>78</v>
      </c>
      <c r="F21" t="s">
        <v>98</v>
      </c>
      <c r="G21" t="s">
        <v>46</v>
      </c>
      <c r="H21" t="s">
        <v>182</v>
      </c>
      <c r="I21" t="s">
        <v>48</v>
      </c>
      <c r="J21" s="4">
        <v>48</v>
      </c>
      <c r="K21" t="s">
        <v>50</v>
      </c>
      <c r="M21" s="2">
        <v>43018</v>
      </c>
      <c r="N21" s="2">
        <f>SUM(Table1[[#This Row],[عدد الاناث تحت سنتين ]:[ذكورمن 60 فما فوق ]])</f>
        <v>7</v>
      </c>
      <c r="O21">
        <v>7</v>
      </c>
      <c r="P21">
        <v>0</v>
      </c>
      <c r="Q21">
        <v>0</v>
      </c>
      <c r="R21">
        <v>2</v>
      </c>
      <c r="S21">
        <v>2</v>
      </c>
      <c r="T21">
        <v>2</v>
      </c>
      <c r="U21">
        <v>1</v>
      </c>
      <c r="V21">
        <v>0</v>
      </c>
      <c r="W21">
        <v>0</v>
      </c>
      <c r="X21" s="1">
        <v>46208</v>
      </c>
      <c r="Y21" t="s">
        <v>52</v>
      </c>
      <c r="Z21" t="s">
        <v>64</v>
      </c>
      <c r="AB21" t="s">
        <v>54</v>
      </c>
      <c r="AL21">
        <v>808630954</v>
      </c>
      <c r="AM21" t="s">
        <v>185</v>
      </c>
      <c r="AN21" s="1">
        <v>46215.291180555563</v>
      </c>
      <c r="AQ21" t="s">
        <v>56</v>
      </c>
      <c r="AR21" t="s">
        <v>57</v>
      </c>
      <c r="AS21" t="s">
        <v>58</v>
      </c>
      <c r="AU21" t="s">
        <v>186</v>
      </c>
      <c r="AV21">
        <v>22</v>
      </c>
    </row>
    <row r="22" spans="1:48" x14ac:dyDescent="0.35">
      <c r="A22" s="1">
        <v>46213.608439085649</v>
      </c>
      <c r="B22" s="1">
        <v>46213.609174699071</v>
      </c>
      <c r="C22" t="s">
        <v>304</v>
      </c>
      <c r="D22" s="1">
        <v>46213</v>
      </c>
      <c r="E22" t="s">
        <v>78</v>
      </c>
      <c r="F22" t="s">
        <v>117</v>
      </c>
      <c r="G22" t="s">
        <v>46</v>
      </c>
      <c r="H22" t="s">
        <v>187</v>
      </c>
      <c r="I22" t="s">
        <v>48</v>
      </c>
      <c r="J22" s="4">
        <v>45</v>
      </c>
      <c r="K22" t="s">
        <v>89</v>
      </c>
      <c r="M22" s="2">
        <v>74125</v>
      </c>
      <c r="N22" s="2">
        <f>SUM(Table1[[#This Row],[عدد الاناث تحت سنتين ]:[ذكورمن 60 فما فوق ]])</f>
        <v>8</v>
      </c>
      <c r="O22">
        <v>8</v>
      </c>
      <c r="P22">
        <v>0</v>
      </c>
      <c r="Q22">
        <v>0</v>
      </c>
      <c r="R22">
        <v>4</v>
      </c>
      <c r="S22">
        <v>4</v>
      </c>
      <c r="T22">
        <v>0</v>
      </c>
      <c r="U22">
        <v>0</v>
      </c>
      <c r="V22">
        <v>0</v>
      </c>
      <c r="W22">
        <v>0</v>
      </c>
      <c r="X22" s="1">
        <v>44387</v>
      </c>
      <c r="Y22" t="s">
        <v>103</v>
      </c>
      <c r="Z22" t="s">
        <v>53</v>
      </c>
      <c r="AB22" t="s">
        <v>54</v>
      </c>
      <c r="AL22">
        <v>808630957</v>
      </c>
      <c r="AM22" t="s">
        <v>188</v>
      </c>
      <c r="AN22" s="1">
        <v>46215.291180555563</v>
      </c>
      <c r="AQ22" t="s">
        <v>56</v>
      </c>
      <c r="AR22" t="s">
        <v>57</v>
      </c>
      <c r="AS22" t="s">
        <v>58</v>
      </c>
      <c r="AU22" t="s">
        <v>189</v>
      </c>
      <c r="AV22">
        <v>23</v>
      </c>
    </row>
    <row r="23" spans="1:48" x14ac:dyDescent="0.35">
      <c r="A23" s="1">
        <v>46213.609222789353</v>
      </c>
      <c r="B23" s="1">
        <v>46213.610387488428</v>
      </c>
      <c r="C23" t="s">
        <v>304</v>
      </c>
      <c r="D23" s="1">
        <v>46213</v>
      </c>
      <c r="E23" t="s">
        <v>78</v>
      </c>
      <c r="F23" t="s">
        <v>128</v>
      </c>
      <c r="G23" t="s">
        <v>46</v>
      </c>
      <c r="H23" t="s">
        <v>190</v>
      </c>
      <c r="I23" t="s">
        <v>48</v>
      </c>
      <c r="J23" s="4">
        <v>30</v>
      </c>
      <c r="K23" t="s">
        <v>62</v>
      </c>
      <c r="M23" s="2">
        <v>58026</v>
      </c>
      <c r="N23" s="2">
        <f>SUM(Table1[[#This Row],[عدد الاناث تحت سنتين ]:[ذكورمن 60 فما فوق ]])</f>
        <v>4</v>
      </c>
      <c r="O23">
        <v>4</v>
      </c>
      <c r="P23">
        <v>0</v>
      </c>
      <c r="Q23">
        <v>0</v>
      </c>
      <c r="R23">
        <v>2</v>
      </c>
      <c r="S23">
        <v>2</v>
      </c>
      <c r="T23">
        <v>0</v>
      </c>
      <c r="U23">
        <v>0</v>
      </c>
      <c r="V23">
        <v>0</v>
      </c>
      <c r="W23">
        <v>0</v>
      </c>
      <c r="X23" s="1">
        <v>46205</v>
      </c>
      <c r="Y23" t="s">
        <v>52</v>
      </c>
      <c r="Z23" t="s">
        <v>64</v>
      </c>
      <c r="AB23" t="s">
        <v>54</v>
      </c>
      <c r="AL23">
        <v>808630959</v>
      </c>
      <c r="AM23" t="s">
        <v>193</v>
      </c>
      <c r="AN23" s="1">
        <v>46215.291192129633</v>
      </c>
      <c r="AQ23" t="s">
        <v>56</v>
      </c>
      <c r="AR23" t="s">
        <v>57</v>
      </c>
      <c r="AS23" t="s">
        <v>58</v>
      </c>
      <c r="AU23" t="s">
        <v>194</v>
      </c>
      <c r="AV23">
        <v>24</v>
      </c>
    </row>
    <row r="24" spans="1:48" x14ac:dyDescent="0.35">
      <c r="A24" s="1">
        <v>46213.610437870368</v>
      </c>
      <c r="B24" s="1">
        <v>46213.611361319447</v>
      </c>
      <c r="C24" t="s">
        <v>304</v>
      </c>
      <c r="D24" s="1">
        <v>46213</v>
      </c>
      <c r="E24" t="s">
        <v>78</v>
      </c>
      <c r="F24" t="s">
        <v>134</v>
      </c>
      <c r="G24" t="s">
        <v>46</v>
      </c>
      <c r="H24" t="s">
        <v>196</v>
      </c>
      <c r="I24" t="s">
        <v>48</v>
      </c>
      <c r="J24" s="4">
        <v>58</v>
      </c>
      <c r="K24" t="s">
        <v>89</v>
      </c>
      <c r="M24" s="2">
        <v>36914</v>
      </c>
      <c r="N24" s="2">
        <f>SUM(Table1[[#This Row],[عدد الاناث تحت سنتين ]:[ذكورمن 60 فما فوق ]])</f>
        <v>7</v>
      </c>
      <c r="O24">
        <v>7</v>
      </c>
      <c r="P24">
        <v>0</v>
      </c>
      <c r="Q24">
        <v>0</v>
      </c>
      <c r="R24">
        <v>2</v>
      </c>
      <c r="S24">
        <v>4</v>
      </c>
      <c r="T24">
        <v>1</v>
      </c>
      <c r="U24">
        <v>0</v>
      </c>
      <c r="V24">
        <v>0</v>
      </c>
      <c r="W24">
        <v>0</v>
      </c>
      <c r="X24" s="1">
        <v>46213</v>
      </c>
      <c r="Y24" t="s">
        <v>103</v>
      </c>
      <c r="Z24" t="s">
        <v>53</v>
      </c>
      <c r="AB24" t="s">
        <v>65</v>
      </c>
      <c r="AL24">
        <v>808630964</v>
      </c>
      <c r="AM24" t="s">
        <v>198</v>
      </c>
      <c r="AN24" s="1">
        <v>46215.291192129633</v>
      </c>
      <c r="AQ24" t="s">
        <v>56</v>
      </c>
      <c r="AR24" t="s">
        <v>57</v>
      </c>
      <c r="AS24" t="s">
        <v>58</v>
      </c>
      <c r="AU24" t="s">
        <v>199</v>
      </c>
      <c r="AV24">
        <v>25</v>
      </c>
    </row>
    <row r="25" spans="1:48" x14ac:dyDescent="0.35">
      <c r="A25" s="1">
        <v>46213.611491203701</v>
      </c>
      <c r="B25" s="1">
        <v>46213.61236648148</v>
      </c>
      <c r="C25" t="s">
        <v>304</v>
      </c>
      <c r="D25" s="1">
        <v>46213</v>
      </c>
      <c r="E25" t="s">
        <v>44</v>
      </c>
      <c r="F25" t="s">
        <v>122</v>
      </c>
      <c r="G25" t="s">
        <v>46</v>
      </c>
      <c r="H25" t="s">
        <v>200</v>
      </c>
      <c r="I25" t="s">
        <v>48</v>
      </c>
      <c r="J25" s="4">
        <v>28</v>
      </c>
      <c r="K25" t="s">
        <v>50</v>
      </c>
      <c r="M25" s="2">
        <v>8529</v>
      </c>
      <c r="N25" s="2">
        <f>SUM(Table1[[#This Row],[عدد الاناث تحت سنتين ]:[ذكورمن 60 فما فوق ]])</f>
        <v>8</v>
      </c>
      <c r="O25">
        <v>8</v>
      </c>
      <c r="P25">
        <v>2</v>
      </c>
      <c r="Q25">
        <v>0</v>
      </c>
      <c r="R25">
        <v>4</v>
      </c>
      <c r="S25">
        <v>2</v>
      </c>
      <c r="T25">
        <v>0</v>
      </c>
      <c r="U25">
        <v>0</v>
      </c>
      <c r="V25">
        <v>0</v>
      </c>
      <c r="W25">
        <v>0</v>
      </c>
      <c r="X25" s="1">
        <v>45848</v>
      </c>
      <c r="Y25" t="s">
        <v>103</v>
      </c>
      <c r="Z25" t="s">
        <v>64</v>
      </c>
      <c r="AB25" t="s">
        <v>54</v>
      </c>
      <c r="AL25">
        <v>808630968</v>
      </c>
      <c r="AM25" t="s">
        <v>202</v>
      </c>
      <c r="AN25" s="1">
        <v>46215.291192129633</v>
      </c>
      <c r="AQ25" t="s">
        <v>56</v>
      </c>
      <c r="AR25" t="s">
        <v>57</v>
      </c>
      <c r="AS25" t="s">
        <v>58</v>
      </c>
      <c r="AU25" t="s">
        <v>203</v>
      </c>
      <c r="AV25">
        <v>26</v>
      </c>
    </row>
    <row r="26" spans="1:48" x14ac:dyDescent="0.35">
      <c r="A26" s="1">
        <v>46213.612840972222</v>
      </c>
      <c r="B26" s="1">
        <v>46213.613616886571</v>
      </c>
      <c r="C26" t="s">
        <v>304</v>
      </c>
      <c r="D26" s="1">
        <v>46213</v>
      </c>
      <c r="E26" t="s">
        <v>44</v>
      </c>
      <c r="F26" t="s">
        <v>45</v>
      </c>
      <c r="G26" t="s">
        <v>46</v>
      </c>
      <c r="H26" t="s">
        <v>206</v>
      </c>
      <c r="I26" t="s">
        <v>48</v>
      </c>
      <c r="J26" s="4">
        <v>25</v>
      </c>
      <c r="K26" t="s">
        <v>71</v>
      </c>
      <c r="M26" s="2">
        <v>56478</v>
      </c>
      <c r="N26" s="2">
        <f>SUM(Table1[[#This Row],[عدد الاناث تحت سنتين ]:[ذكورمن 60 فما فوق ]])</f>
        <v>14</v>
      </c>
      <c r="O26">
        <v>14</v>
      </c>
      <c r="P26">
        <v>2</v>
      </c>
      <c r="Q26">
        <v>0</v>
      </c>
      <c r="R26">
        <v>4</v>
      </c>
      <c r="S26">
        <v>0</v>
      </c>
      <c r="T26">
        <v>8</v>
      </c>
      <c r="U26">
        <v>0</v>
      </c>
      <c r="V26">
        <v>0</v>
      </c>
      <c r="W26">
        <v>0</v>
      </c>
      <c r="X26" s="1">
        <v>46064</v>
      </c>
      <c r="Y26" t="s">
        <v>83</v>
      </c>
      <c r="Z26" t="s">
        <v>64</v>
      </c>
      <c r="AB26" t="s">
        <v>54</v>
      </c>
      <c r="AL26">
        <v>808630976</v>
      </c>
      <c r="AM26" t="s">
        <v>209</v>
      </c>
      <c r="AN26" s="1">
        <v>46215.291215277779</v>
      </c>
      <c r="AQ26" t="s">
        <v>56</v>
      </c>
      <c r="AR26" t="s">
        <v>57</v>
      </c>
      <c r="AS26" t="s">
        <v>58</v>
      </c>
      <c r="AU26" t="s">
        <v>210</v>
      </c>
      <c r="AV26">
        <v>28</v>
      </c>
    </row>
    <row r="27" spans="1:48" x14ac:dyDescent="0.35">
      <c r="A27" s="1">
        <v>46213.705410937502</v>
      </c>
      <c r="B27" s="1">
        <v>46213.706568113434</v>
      </c>
      <c r="C27" t="s">
        <v>305</v>
      </c>
      <c r="D27" s="1">
        <v>46213</v>
      </c>
      <c r="E27" t="s">
        <v>44</v>
      </c>
      <c r="F27" t="s">
        <v>122</v>
      </c>
      <c r="G27" t="s">
        <v>46</v>
      </c>
      <c r="H27" t="s">
        <v>212</v>
      </c>
      <c r="I27" t="s">
        <v>48</v>
      </c>
      <c r="J27" s="4">
        <v>30</v>
      </c>
      <c r="K27" t="s">
        <v>62</v>
      </c>
      <c r="M27" s="2">
        <v>55250</v>
      </c>
      <c r="N27" s="2">
        <f>SUM(Table1[[#This Row],[عدد الاناث تحت سنتين ]:[ذكورمن 60 فما فوق ]])</f>
        <v>5</v>
      </c>
      <c r="O27">
        <v>5</v>
      </c>
      <c r="P27">
        <v>2</v>
      </c>
      <c r="Q27">
        <v>2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 s="1">
        <v>43656</v>
      </c>
      <c r="Y27" t="s">
        <v>103</v>
      </c>
      <c r="Z27" t="s">
        <v>74</v>
      </c>
      <c r="AB27" t="s">
        <v>54</v>
      </c>
      <c r="AL27">
        <v>808630980</v>
      </c>
      <c r="AM27" t="s">
        <v>214</v>
      </c>
      <c r="AN27" s="1">
        <v>46215.291215277779</v>
      </c>
      <c r="AQ27" t="s">
        <v>56</v>
      </c>
      <c r="AR27" t="s">
        <v>57</v>
      </c>
      <c r="AS27" t="s">
        <v>58</v>
      </c>
      <c r="AU27" t="s">
        <v>215</v>
      </c>
      <c r="AV27">
        <v>29</v>
      </c>
    </row>
    <row r="28" spans="1:48" x14ac:dyDescent="0.35">
      <c r="A28" s="1">
        <v>46213.899025833343</v>
      </c>
      <c r="B28" s="1">
        <v>46213.899823391213</v>
      </c>
      <c r="C28" t="s">
        <v>305</v>
      </c>
      <c r="D28" s="1">
        <v>46213</v>
      </c>
      <c r="E28" t="s">
        <v>44</v>
      </c>
      <c r="F28" t="s">
        <v>122</v>
      </c>
      <c r="G28" t="s">
        <v>46</v>
      </c>
      <c r="H28" t="s">
        <v>216</v>
      </c>
      <c r="I28" t="s">
        <v>48</v>
      </c>
      <c r="J28" s="4">
        <v>50</v>
      </c>
      <c r="K28" t="s">
        <v>50</v>
      </c>
      <c r="M28" s="2">
        <v>40321</v>
      </c>
      <c r="N28" s="2">
        <f>SUM(Table1[[#This Row],[عدد الاناث تحت سنتين ]:[ذكورمن 60 فما فوق ]])</f>
        <v>8</v>
      </c>
      <c r="O28">
        <v>8</v>
      </c>
      <c r="P28">
        <v>0</v>
      </c>
      <c r="Q28">
        <v>0</v>
      </c>
      <c r="R28">
        <v>4</v>
      </c>
      <c r="S28">
        <v>2</v>
      </c>
      <c r="T28">
        <v>2</v>
      </c>
      <c r="U28">
        <v>0</v>
      </c>
      <c r="V28">
        <v>0</v>
      </c>
      <c r="W28">
        <v>0</v>
      </c>
      <c r="X28" s="1">
        <v>45117</v>
      </c>
      <c r="Y28" t="s">
        <v>103</v>
      </c>
      <c r="Z28" t="s">
        <v>53</v>
      </c>
      <c r="AB28" t="s">
        <v>54</v>
      </c>
      <c r="AL28">
        <v>808630985</v>
      </c>
      <c r="AM28" t="s">
        <v>219</v>
      </c>
      <c r="AN28" s="1">
        <v>46215.291226851848</v>
      </c>
      <c r="AQ28" t="s">
        <v>56</v>
      </c>
      <c r="AR28" t="s">
        <v>57</v>
      </c>
      <c r="AS28" t="s">
        <v>58</v>
      </c>
      <c r="AU28" t="s">
        <v>220</v>
      </c>
      <c r="AV28">
        <v>30</v>
      </c>
    </row>
    <row r="29" spans="1:48" x14ac:dyDescent="0.35">
      <c r="A29" s="1">
        <v>46213.900810567131</v>
      </c>
      <c r="B29" s="1">
        <v>46213.902023842587</v>
      </c>
      <c r="C29" t="s">
        <v>305</v>
      </c>
      <c r="D29" s="1">
        <v>46213</v>
      </c>
      <c r="E29" t="s">
        <v>44</v>
      </c>
      <c r="F29" t="s">
        <v>161</v>
      </c>
      <c r="G29" t="s">
        <v>46</v>
      </c>
      <c r="H29" t="s">
        <v>227</v>
      </c>
      <c r="I29" t="s">
        <v>48</v>
      </c>
      <c r="J29" s="4">
        <v>40</v>
      </c>
      <c r="K29" t="s">
        <v>89</v>
      </c>
      <c r="M29" s="2">
        <v>14280</v>
      </c>
      <c r="N29" s="2">
        <f>SUM(Table1[[#This Row],[عدد الاناث تحت سنتين ]:[ذكورمن 60 فما فوق ]])</f>
        <v>8</v>
      </c>
      <c r="O29">
        <v>8</v>
      </c>
      <c r="P29">
        <v>2</v>
      </c>
      <c r="Q29">
        <v>0</v>
      </c>
      <c r="R29">
        <v>3</v>
      </c>
      <c r="S29">
        <v>3</v>
      </c>
      <c r="T29">
        <v>0</v>
      </c>
      <c r="U29">
        <v>0</v>
      </c>
      <c r="V29">
        <v>0</v>
      </c>
      <c r="W29">
        <v>0</v>
      </c>
      <c r="X29" s="1">
        <v>42561</v>
      </c>
      <c r="Y29" t="s">
        <v>103</v>
      </c>
      <c r="Z29" t="s">
        <v>53</v>
      </c>
      <c r="AB29" t="s">
        <v>54</v>
      </c>
      <c r="AL29">
        <v>808631004</v>
      </c>
      <c r="AM29" t="s">
        <v>229</v>
      </c>
      <c r="AN29" s="1">
        <v>46215.291250000002</v>
      </c>
      <c r="AQ29" t="s">
        <v>56</v>
      </c>
      <c r="AR29" t="s">
        <v>57</v>
      </c>
      <c r="AS29" t="s">
        <v>58</v>
      </c>
      <c r="AU29" t="s">
        <v>230</v>
      </c>
      <c r="AV29">
        <v>32</v>
      </c>
    </row>
    <row r="30" spans="1:48" x14ac:dyDescent="0.35">
      <c r="A30" s="1">
        <v>46213.90280340278</v>
      </c>
      <c r="B30" s="1">
        <v>46213.9037503125</v>
      </c>
      <c r="C30" t="s">
        <v>236</v>
      </c>
      <c r="D30" s="1">
        <v>46213</v>
      </c>
      <c r="E30" t="s">
        <v>78</v>
      </c>
      <c r="F30" t="s">
        <v>117</v>
      </c>
      <c r="G30" t="s">
        <v>46</v>
      </c>
      <c r="H30" t="s">
        <v>232</v>
      </c>
      <c r="I30" t="s">
        <v>48</v>
      </c>
      <c r="J30" s="4">
        <v>40</v>
      </c>
      <c r="K30" t="s">
        <v>62</v>
      </c>
      <c r="M30" s="2">
        <v>14780</v>
      </c>
      <c r="N30" s="2">
        <f>SUM(Table1[[#This Row],[عدد الاناث تحت سنتين ]:[ذكورمن 60 فما فوق ]])</f>
        <v>5</v>
      </c>
      <c r="O30">
        <v>5</v>
      </c>
      <c r="P30">
        <v>2</v>
      </c>
      <c r="Q30">
        <v>0</v>
      </c>
      <c r="R30">
        <v>2</v>
      </c>
      <c r="S30">
        <v>1</v>
      </c>
      <c r="T30">
        <v>0</v>
      </c>
      <c r="U30">
        <v>0</v>
      </c>
      <c r="V30">
        <v>0</v>
      </c>
      <c r="W30">
        <v>0</v>
      </c>
      <c r="X30" s="1">
        <v>46213</v>
      </c>
      <c r="Y30" t="s">
        <v>52</v>
      </c>
      <c r="Z30" t="s">
        <v>309</v>
      </c>
      <c r="AB30" t="s">
        <v>233</v>
      </c>
      <c r="AL30">
        <v>808631007</v>
      </c>
      <c r="AM30" t="s">
        <v>234</v>
      </c>
      <c r="AN30" s="1">
        <v>46215.291261574072</v>
      </c>
      <c r="AQ30" t="s">
        <v>56</v>
      </c>
      <c r="AR30" t="s">
        <v>57</v>
      </c>
      <c r="AS30" t="s">
        <v>58</v>
      </c>
      <c r="AU30" t="s">
        <v>235</v>
      </c>
      <c r="AV30">
        <v>33</v>
      </c>
    </row>
    <row r="31" spans="1:48" x14ac:dyDescent="0.35">
      <c r="A31" s="1">
        <v>46213.904020451388</v>
      </c>
      <c r="B31" s="1">
        <v>46213.904986782407</v>
      </c>
      <c r="C31" t="s">
        <v>236</v>
      </c>
      <c r="D31" s="1">
        <v>46213</v>
      </c>
      <c r="E31" t="s">
        <v>78</v>
      </c>
      <c r="F31" t="s">
        <v>128</v>
      </c>
      <c r="G31" t="s">
        <v>46</v>
      </c>
      <c r="H31" t="s">
        <v>237</v>
      </c>
      <c r="I31" t="s">
        <v>48</v>
      </c>
      <c r="J31" s="4">
        <v>80</v>
      </c>
      <c r="K31" t="s">
        <v>89</v>
      </c>
      <c r="M31" s="2">
        <v>45678</v>
      </c>
      <c r="N31" s="2">
        <f>SUM(Table1[[#This Row],[عدد الاناث تحت سنتين ]:[ذكورمن 60 فما فوق ]])</f>
        <v>10</v>
      </c>
      <c r="O31">
        <v>10</v>
      </c>
      <c r="P31">
        <v>0</v>
      </c>
      <c r="Q31">
        <v>0</v>
      </c>
      <c r="R31">
        <v>3</v>
      </c>
      <c r="S31">
        <v>3</v>
      </c>
      <c r="T31">
        <v>2</v>
      </c>
      <c r="U31">
        <v>2</v>
      </c>
      <c r="V31">
        <v>0</v>
      </c>
      <c r="W31">
        <v>0</v>
      </c>
      <c r="X31" s="1">
        <v>41100</v>
      </c>
      <c r="Y31" t="s">
        <v>103</v>
      </c>
      <c r="Z31" t="s">
        <v>53</v>
      </c>
      <c r="AB31" t="s">
        <v>54</v>
      </c>
      <c r="AL31">
        <v>808631016</v>
      </c>
      <c r="AM31" t="s">
        <v>238</v>
      </c>
      <c r="AN31" s="1">
        <v>46215.291273148148</v>
      </c>
      <c r="AQ31" t="s">
        <v>56</v>
      </c>
      <c r="AR31" t="s">
        <v>57</v>
      </c>
      <c r="AS31" t="s">
        <v>58</v>
      </c>
      <c r="AU31" t="s">
        <v>239</v>
      </c>
      <c r="AV31">
        <v>34</v>
      </c>
    </row>
    <row r="32" spans="1:48" x14ac:dyDescent="0.35">
      <c r="A32" s="1">
        <v>46213.906064120369</v>
      </c>
      <c r="B32" s="1">
        <v>46213.906901111113</v>
      </c>
      <c r="C32" t="s">
        <v>236</v>
      </c>
      <c r="D32" s="1">
        <v>46213</v>
      </c>
      <c r="E32" t="s">
        <v>78</v>
      </c>
      <c r="F32" t="s">
        <v>117</v>
      </c>
      <c r="G32" t="s">
        <v>46</v>
      </c>
      <c r="H32" t="s">
        <v>118</v>
      </c>
      <c r="I32" t="s">
        <v>48</v>
      </c>
      <c r="J32" s="4">
        <v>40</v>
      </c>
      <c r="K32" t="s">
        <v>62</v>
      </c>
      <c r="M32" s="2">
        <v>40285</v>
      </c>
      <c r="N32" s="2">
        <f>SUM(Table1[[#This Row],[عدد الاناث تحت سنتين ]:[ذكورمن 60 فما فوق ]])</f>
        <v>6</v>
      </c>
      <c r="O32">
        <v>6</v>
      </c>
      <c r="P32">
        <v>2</v>
      </c>
      <c r="Q32">
        <v>0</v>
      </c>
      <c r="R32">
        <v>1</v>
      </c>
      <c r="S32">
        <v>2</v>
      </c>
      <c r="T32">
        <v>1</v>
      </c>
      <c r="U32">
        <v>0</v>
      </c>
      <c r="V32">
        <v>0</v>
      </c>
      <c r="W32">
        <v>0</v>
      </c>
      <c r="X32" s="1">
        <v>46086</v>
      </c>
      <c r="Y32" t="s">
        <v>73</v>
      </c>
      <c r="Z32" t="s">
        <v>309</v>
      </c>
      <c r="AB32" t="s">
        <v>54</v>
      </c>
      <c r="AL32">
        <v>808631029</v>
      </c>
      <c r="AM32" t="s">
        <v>244</v>
      </c>
      <c r="AN32" s="1">
        <v>46215.291284722232</v>
      </c>
      <c r="AQ32" t="s">
        <v>56</v>
      </c>
      <c r="AR32" t="s">
        <v>57</v>
      </c>
      <c r="AS32" t="s">
        <v>58</v>
      </c>
      <c r="AU32" t="s">
        <v>245</v>
      </c>
      <c r="AV32">
        <v>36</v>
      </c>
    </row>
    <row r="33" spans="1:48" x14ac:dyDescent="0.35">
      <c r="A33" s="1">
        <v>46213.909867372677</v>
      </c>
      <c r="B33" s="1">
        <v>46213.91105357639</v>
      </c>
      <c r="C33" t="s">
        <v>236</v>
      </c>
      <c r="D33" s="1">
        <v>46213</v>
      </c>
      <c r="E33" t="s">
        <v>78</v>
      </c>
      <c r="F33" t="s">
        <v>86</v>
      </c>
      <c r="G33" t="s">
        <v>46</v>
      </c>
      <c r="H33" t="s">
        <v>246</v>
      </c>
      <c r="I33" t="s">
        <v>48</v>
      </c>
      <c r="J33" s="4">
        <v>25</v>
      </c>
      <c r="K33" t="s">
        <v>50</v>
      </c>
      <c r="M33" s="2">
        <v>26958</v>
      </c>
      <c r="N33" s="2">
        <f>SUM(Table1[[#This Row],[عدد الاناث تحت سنتين ]:[ذكورمن 60 فما فوق ]])</f>
        <v>8</v>
      </c>
      <c r="O33">
        <v>8</v>
      </c>
      <c r="P33">
        <v>0</v>
      </c>
      <c r="Q33">
        <v>5</v>
      </c>
      <c r="R33">
        <v>0</v>
      </c>
      <c r="S33">
        <v>0</v>
      </c>
      <c r="T33">
        <v>2</v>
      </c>
      <c r="U33">
        <v>1</v>
      </c>
      <c r="V33">
        <v>0</v>
      </c>
      <c r="W33">
        <v>0</v>
      </c>
      <c r="X33" s="1">
        <v>46213</v>
      </c>
      <c r="Y33" t="s">
        <v>83</v>
      </c>
      <c r="Z33" t="s">
        <v>53</v>
      </c>
      <c r="AB33" t="s">
        <v>54</v>
      </c>
      <c r="AL33">
        <v>808631033</v>
      </c>
      <c r="AM33" t="s">
        <v>248</v>
      </c>
      <c r="AN33" s="1">
        <v>46215.291296296287</v>
      </c>
      <c r="AQ33" t="s">
        <v>56</v>
      </c>
      <c r="AR33" t="s">
        <v>57</v>
      </c>
      <c r="AS33" t="s">
        <v>58</v>
      </c>
      <c r="AU33" t="s">
        <v>249</v>
      </c>
      <c r="AV33">
        <v>37</v>
      </c>
    </row>
    <row r="34" spans="1:48" x14ac:dyDescent="0.35">
      <c r="A34" s="1">
        <v>46213.911817060187</v>
      </c>
      <c r="B34" s="1">
        <v>46213.913168449071</v>
      </c>
      <c r="C34" t="s">
        <v>250</v>
      </c>
      <c r="D34" s="1">
        <v>46213</v>
      </c>
      <c r="E34" t="s">
        <v>44</v>
      </c>
      <c r="F34" t="s">
        <v>222</v>
      </c>
      <c r="G34" t="s">
        <v>46</v>
      </c>
      <c r="H34" t="s">
        <v>251</v>
      </c>
      <c r="I34" t="s">
        <v>48</v>
      </c>
      <c r="J34" s="4">
        <v>28</v>
      </c>
      <c r="K34" t="s">
        <v>50</v>
      </c>
      <c r="M34" s="2">
        <v>64925</v>
      </c>
      <c r="N34" s="2">
        <f>SUM(Table1[[#This Row],[عدد الاناث تحت سنتين ]:[ذكورمن 60 فما فوق ]])</f>
        <v>8</v>
      </c>
      <c r="O34">
        <v>8</v>
      </c>
      <c r="P34">
        <v>0</v>
      </c>
      <c r="Q34">
        <v>0</v>
      </c>
      <c r="R34">
        <v>2</v>
      </c>
      <c r="S34">
        <v>4</v>
      </c>
      <c r="T34">
        <v>2</v>
      </c>
      <c r="U34">
        <v>0</v>
      </c>
      <c r="V34">
        <v>0</v>
      </c>
      <c r="W34">
        <v>0</v>
      </c>
      <c r="X34" s="1">
        <v>46189</v>
      </c>
      <c r="Y34" t="s">
        <v>103</v>
      </c>
      <c r="Z34" t="s">
        <v>74</v>
      </c>
      <c r="AB34" t="s">
        <v>54</v>
      </c>
      <c r="AL34">
        <v>808631040</v>
      </c>
      <c r="AM34" t="s">
        <v>254</v>
      </c>
      <c r="AN34" s="1">
        <v>46215.291307870371</v>
      </c>
      <c r="AQ34" t="s">
        <v>56</v>
      </c>
      <c r="AR34" t="s">
        <v>57</v>
      </c>
      <c r="AS34" t="s">
        <v>58</v>
      </c>
      <c r="AU34" t="s">
        <v>255</v>
      </c>
      <c r="AV34">
        <v>38</v>
      </c>
    </row>
    <row r="35" spans="1:48" x14ac:dyDescent="0.35">
      <c r="A35" s="1">
        <v>46213.913366423607</v>
      </c>
      <c r="B35" s="1">
        <v>46213.914421574067</v>
      </c>
      <c r="C35" t="s">
        <v>250</v>
      </c>
      <c r="D35" s="1">
        <v>46213</v>
      </c>
      <c r="E35" t="s">
        <v>44</v>
      </c>
      <c r="F35" t="s">
        <v>45</v>
      </c>
      <c r="G35" t="s">
        <v>46</v>
      </c>
      <c r="H35" t="s">
        <v>257</v>
      </c>
      <c r="I35" t="s">
        <v>48</v>
      </c>
      <c r="J35" s="4">
        <v>45</v>
      </c>
      <c r="K35" t="s">
        <v>50</v>
      </c>
      <c r="M35" s="2">
        <v>74325</v>
      </c>
      <c r="N35" s="2">
        <f>SUM(Table1[[#This Row],[عدد الاناث تحت سنتين ]:[ذكورمن 60 فما فوق ]])</f>
        <v>6</v>
      </c>
      <c r="O35">
        <v>6</v>
      </c>
      <c r="P35">
        <v>2</v>
      </c>
      <c r="Q35">
        <v>0</v>
      </c>
      <c r="R35">
        <v>2</v>
      </c>
      <c r="S35">
        <v>2</v>
      </c>
      <c r="T35">
        <v>0</v>
      </c>
      <c r="U35">
        <v>0</v>
      </c>
      <c r="V35">
        <v>0</v>
      </c>
      <c r="W35">
        <v>0</v>
      </c>
      <c r="X35" s="1">
        <v>43656</v>
      </c>
      <c r="Y35" t="s">
        <v>83</v>
      </c>
      <c r="Z35" t="s">
        <v>64</v>
      </c>
      <c r="AB35" t="s">
        <v>54</v>
      </c>
      <c r="AL35">
        <v>808631041</v>
      </c>
      <c r="AM35" t="s">
        <v>259</v>
      </c>
      <c r="AN35" s="1">
        <v>46215.291319444441</v>
      </c>
      <c r="AQ35" t="s">
        <v>56</v>
      </c>
      <c r="AR35" t="s">
        <v>57</v>
      </c>
      <c r="AS35" t="s">
        <v>58</v>
      </c>
      <c r="AU35" t="s">
        <v>260</v>
      </c>
      <c r="AV35">
        <v>39</v>
      </c>
    </row>
    <row r="36" spans="1:48" x14ac:dyDescent="0.35">
      <c r="A36" s="1">
        <v>46213.914474953701</v>
      </c>
      <c r="B36" s="1">
        <v>46213.915590208337</v>
      </c>
      <c r="C36" t="s">
        <v>250</v>
      </c>
      <c r="D36" s="1">
        <v>46213</v>
      </c>
      <c r="E36" t="s">
        <v>44</v>
      </c>
      <c r="F36" t="s">
        <v>122</v>
      </c>
      <c r="G36" t="s">
        <v>46</v>
      </c>
      <c r="H36" t="s">
        <v>261</v>
      </c>
      <c r="I36" t="s">
        <v>48</v>
      </c>
      <c r="J36" s="4">
        <v>69</v>
      </c>
      <c r="K36" t="s">
        <v>50</v>
      </c>
      <c r="M36" s="2">
        <v>29105</v>
      </c>
      <c r="N36" s="2">
        <f>SUM(Table1[[#This Row],[عدد الاناث تحت سنتين ]:[ذكورمن 60 فما فوق ]])</f>
        <v>8</v>
      </c>
      <c r="O36">
        <v>8</v>
      </c>
      <c r="P36">
        <v>2</v>
      </c>
      <c r="Q36">
        <v>0</v>
      </c>
      <c r="R36">
        <v>4</v>
      </c>
      <c r="S36">
        <v>2</v>
      </c>
      <c r="T36">
        <v>0</v>
      </c>
      <c r="U36">
        <v>0</v>
      </c>
      <c r="V36">
        <v>0</v>
      </c>
      <c r="W36">
        <v>0</v>
      </c>
      <c r="X36" s="1">
        <v>46212</v>
      </c>
      <c r="Y36" t="s">
        <v>73</v>
      </c>
      <c r="Z36" t="s">
        <v>64</v>
      </c>
      <c r="AB36" t="s">
        <v>54</v>
      </c>
      <c r="AL36">
        <v>808631046</v>
      </c>
      <c r="AM36" t="s">
        <v>264</v>
      </c>
      <c r="AN36" s="1">
        <v>46215.291319444441</v>
      </c>
      <c r="AQ36" t="s">
        <v>56</v>
      </c>
      <c r="AR36" t="s">
        <v>57</v>
      </c>
      <c r="AS36" t="s">
        <v>58</v>
      </c>
      <c r="AU36" t="s">
        <v>265</v>
      </c>
      <c r="AV36">
        <v>40</v>
      </c>
    </row>
    <row r="37" spans="1:48" x14ac:dyDescent="0.35">
      <c r="A37" s="1">
        <v>46213.915643402783</v>
      </c>
      <c r="B37" s="1">
        <v>46213.916533900461</v>
      </c>
      <c r="C37" t="s">
        <v>250</v>
      </c>
      <c r="D37" s="1">
        <v>46213</v>
      </c>
      <c r="E37" t="s">
        <v>44</v>
      </c>
      <c r="F37" t="s">
        <v>68</v>
      </c>
      <c r="G37" t="s">
        <v>46</v>
      </c>
      <c r="H37" t="s">
        <v>266</v>
      </c>
      <c r="I37" t="s">
        <v>48</v>
      </c>
      <c r="J37" s="4">
        <v>70</v>
      </c>
      <c r="K37" t="s">
        <v>62</v>
      </c>
      <c r="M37" s="2">
        <v>47580</v>
      </c>
      <c r="N37" s="2">
        <f>SUM(Table1[[#This Row],[عدد الاناث تحت سنتين ]:[ذكورمن 60 فما فوق ]])</f>
        <v>10</v>
      </c>
      <c r="O37">
        <v>10</v>
      </c>
      <c r="P37">
        <v>0</v>
      </c>
      <c r="Q37">
        <v>0</v>
      </c>
      <c r="R37">
        <v>4</v>
      </c>
      <c r="S37">
        <v>0</v>
      </c>
      <c r="T37">
        <v>4</v>
      </c>
      <c r="U37">
        <v>2</v>
      </c>
      <c r="V37">
        <v>0</v>
      </c>
      <c r="W37">
        <v>0</v>
      </c>
      <c r="X37" s="1">
        <v>46206</v>
      </c>
      <c r="Y37" t="s">
        <v>52</v>
      </c>
      <c r="Z37" t="s">
        <v>74</v>
      </c>
      <c r="AB37" t="s">
        <v>54</v>
      </c>
      <c r="AL37">
        <v>808631053</v>
      </c>
      <c r="AM37" t="s">
        <v>269</v>
      </c>
      <c r="AN37" s="1">
        <v>46215.291342592587</v>
      </c>
      <c r="AQ37" t="s">
        <v>56</v>
      </c>
      <c r="AR37" t="s">
        <v>57</v>
      </c>
      <c r="AS37" t="s">
        <v>58</v>
      </c>
      <c r="AU37" t="s">
        <v>270</v>
      </c>
      <c r="AV37">
        <v>41</v>
      </c>
    </row>
    <row r="38" spans="1:48" x14ac:dyDescent="0.35">
      <c r="A38" s="1">
        <v>46213.916635960653</v>
      </c>
      <c r="B38" s="1">
        <v>46213.917449490742</v>
      </c>
      <c r="C38" t="s">
        <v>250</v>
      </c>
      <c r="D38" s="1">
        <v>46213</v>
      </c>
      <c r="E38" t="s">
        <v>44</v>
      </c>
      <c r="F38" t="s">
        <v>142</v>
      </c>
      <c r="G38" t="s">
        <v>46</v>
      </c>
      <c r="H38" t="s">
        <v>271</v>
      </c>
      <c r="I38" t="s">
        <v>48</v>
      </c>
      <c r="J38" s="4">
        <v>45</v>
      </c>
      <c r="K38" t="s">
        <v>89</v>
      </c>
      <c r="M38" s="2">
        <v>36521</v>
      </c>
      <c r="N38" s="2">
        <f>SUM(Table1[[#This Row],[عدد الاناث تحت سنتين ]:[ذكورمن 60 فما فوق ]])</f>
        <v>8</v>
      </c>
      <c r="O38">
        <v>8</v>
      </c>
      <c r="P38">
        <v>2</v>
      </c>
      <c r="Q38">
        <v>0</v>
      </c>
      <c r="R38">
        <v>2</v>
      </c>
      <c r="S38">
        <v>2</v>
      </c>
      <c r="T38">
        <v>2</v>
      </c>
      <c r="U38">
        <v>0</v>
      </c>
      <c r="V38">
        <v>0</v>
      </c>
      <c r="W38">
        <v>0</v>
      </c>
      <c r="X38" s="1">
        <v>45483</v>
      </c>
      <c r="Y38" t="s">
        <v>52</v>
      </c>
      <c r="Z38" t="s">
        <v>64</v>
      </c>
      <c r="AB38" t="s">
        <v>54</v>
      </c>
      <c r="AL38">
        <v>808631061</v>
      </c>
      <c r="AM38" t="s">
        <v>273</v>
      </c>
      <c r="AN38" s="1">
        <v>46215.291354166657</v>
      </c>
      <c r="AQ38" t="s">
        <v>56</v>
      </c>
      <c r="AR38" t="s">
        <v>57</v>
      </c>
      <c r="AS38" t="s">
        <v>58</v>
      </c>
      <c r="AU38" t="s">
        <v>274</v>
      </c>
      <c r="AV38">
        <v>42</v>
      </c>
    </row>
    <row r="39" spans="1:48" x14ac:dyDescent="0.35">
      <c r="A39" s="1">
        <v>46213.917492719913</v>
      </c>
      <c r="B39" s="1">
        <v>46213.918309849527</v>
      </c>
      <c r="C39" t="s">
        <v>250</v>
      </c>
      <c r="D39" s="1">
        <v>46213</v>
      </c>
      <c r="E39" t="s">
        <v>44</v>
      </c>
      <c r="F39" t="s">
        <v>161</v>
      </c>
      <c r="G39" t="s">
        <v>46</v>
      </c>
      <c r="H39" t="s">
        <v>275</v>
      </c>
      <c r="I39" t="s">
        <v>48</v>
      </c>
      <c r="J39" s="4">
        <v>30</v>
      </c>
      <c r="K39" t="s">
        <v>50</v>
      </c>
      <c r="M39" s="2">
        <v>6402</v>
      </c>
      <c r="N39" s="2">
        <f>SUM(Table1[[#This Row],[عدد الاناث تحت سنتين ]:[ذكورمن 60 فما فوق ]])</f>
        <v>5</v>
      </c>
      <c r="O39">
        <v>5</v>
      </c>
      <c r="P39">
        <v>0</v>
      </c>
      <c r="Q39">
        <v>2</v>
      </c>
      <c r="R39">
        <v>0</v>
      </c>
      <c r="S39">
        <v>2</v>
      </c>
      <c r="T39">
        <v>1</v>
      </c>
      <c r="U39">
        <v>0</v>
      </c>
      <c r="V39">
        <v>0</v>
      </c>
      <c r="W39">
        <v>0</v>
      </c>
      <c r="X39" s="1">
        <v>46209</v>
      </c>
      <c r="Y39" t="s">
        <v>103</v>
      </c>
      <c r="Z39" t="s">
        <v>64</v>
      </c>
      <c r="AB39" t="s">
        <v>54</v>
      </c>
      <c r="AL39">
        <v>808631068</v>
      </c>
      <c r="AM39" t="s">
        <v>277</v>
      </c>
      <c r="AN39" s="1">
        <v>46215.291365740741</v>
      </c>
      <c r="AQ39" t="s">
        <v>56</v>
      </c>
      <c r="AR39" t="s">
        <v>57</v>
      </c>
      <c r="AS39" t="s">
        <v>58</v>
      </c>
      <c r="AU39" t="s">
        <v>278</v>
      </c>
      <c r="AV39">
        <v>43</v>
      </c>
    </row>
    <row r="40" spans="1:48" x14ac:dyDescent="0.35">
      <c r="A40" s="1">
        <v>46213.93068878472</v>
      </c>
      <c r="B40" s="1">
        <v>46213.931624166667</v>
      </c>
      <c r="C40" t="s">
        <v>306</v>
      </c>
      <c r="D40" s="1">
        <v>46213</v>
      </c>
      <c r="E40" t="s">
        <v>78</v>
      </c>
      <c r="F40" t="s">
        <v>117</v>
      </c>
      <c r="G40" t="s">
        <v>46</v>
      </c>
      <c r="H40" t="s">
        <v>223</v>
      </c>
      <c r="I40" t="s">
        <v>48</v>
      </c>
      <c r="J40" s="4">
        <v>36</v>
      </c>
      <c r="K40" t="s">
        <v>50</v>
      </c>
      <c r="M40" s="2">
        <v>25364</v>
      </c>
      <c r="N40" s="2">
        <f>SUM(Table1[[#This Row],[عدد الاناث تحت سنتين ]:[ذكورمن 60 فما فوق ]])</f>
        <v>8</v>
      </c>
      <c r="O40">
        <v>8</v>
      </c>
      <c r="P40">
        <v>2</v>
      </c>
      <c r="Q40">
        <v>0</v>
      </c>
      <c r="R40">
        <v>4</v>
      </c>
      <c r="S40">
        <v>2</v>
      </c>
      <c r="T40">
        <v>0</v>
      </c>
      <c r="U40">
        <v>0</v>
      </c>
      <c r="V40">
        <v>0</v>
      </c>
      <c r="W40">
        <v>0</v>
      </c>
      <c r="X40" s="1">
        <v>46204</v>
      </c>
      <c r="Y40" t="s">
        <v>83</v>
      </c>
      <c r="Z40" t="s">
        <v>53</v>
      </c>
      <c r="AB40" t="s">
        <v>54</v>
      </c>
      <c r="AL40">
        <v>808631070</v>
      </c>
      <c r="AM40" t="s">
        <v>281</v>
      </c>
      <c r="AN40" s="1">
        <v>46215.291365740741</v>
      </c>
      <c r="AQ40" t="s">
        <v>56</v>
      </c>
      <c r="AR40" t="s">
        <v>57</v>
      </c>
      <c r="AS40" t="s">
        <v>58</v>
      </c>
      <c r="AU40" t="s">
        <v>282</v>
      </c>
      <c r="AV40">
        <v>44</v>
      </c>
    </row>
    <row r="41" spans="1:48" x14ac:dyDescent="0.35">
      <c r="A41" s="1">
        <v>46213.93169888889</v>
      </c>
      <c r="B41" s="1">
        <v>46213.932438541669</v>
      </c>
      <c r="C41" t="s">
        <v>306</v>
      </c>
      <c r="D41" s="1">
        <v>46213</v>
      </c>
      <c r="E41" t="s">
        <v>78</v>
      </c>
      <c r="F41" t="s">
        <v>134</v>
      </c>
      <c r="G41" t="s">
        <v>46</v>
      </c>
      <c r="H41" t="s">
        <v>283</v>
      </c>
      <c r="I41" t="s">
        <v>48</v>
      </c>
      <c r="J41" s="4">
        <v>69</v>
      </c>
      <c r="K41" t="s">
        <v>89</v>
      </c>
      <c r="M41" s="2">
        <v>25698</v>
      </c>
      <c r="N41" s="2">
        <f>SUM(Table1[[#This Row],[عدد الاناث تحت سنتين ]:[ذكورمن 60 فما فوق ]])</f>
        <v>5</v>
      </c>
      <c r="O41">
        <v>5</v>
      </c>
      <c r="P41">
        <v>0</v>
      </c>
      <c r="Q41">
        <v>0</v>
      </c>
      <c r="R41">
        <v>3</v>
      </c>
      <c r="S41">
        <v>2</v>
      </c>
      <c r="T41">
        <v>0</v>
      </c>
      <c r="U41">
        <v>0</v>
      </c>
      <c r="V41">
        <v>0</v>
      </c>
      <c r="W41">
        <v>0</v>
      </c>
      <c r="X41" s="1">
        <v>46207</v>
      </c>
      <c r="Y41" t="s">
        <v>52</v>
      </c>
      <c r="Z41" t="s">
        <v>64</v>
      </c>
      <c r="AB41" t="s">
        <v>54</v>
      </c>
      <c r="AL41">
        <v>808631073</v>
      </c>
      <c r="AM41" t="s">
        <v>285</v>
      </c>
      <c r="AN41" s="1">
        <v>46215.291377314818</v>
      </c>
      <c r="AQ41" t="s">
        <v>56</v>
      </c>
      <c r="AR41" t="s">
        <v>57</v>
      </c>
      <c r="AS41" t="s">
        <v>58</v>
      </c>
      <c r="AU41" t="s">
        <v>286</v>
      </c>
      <c r="AV41">
        <v>45</v>
      </c>
    </row>
    <row r="42" spans="1:48" x14ac:dyDescent="0.35">
      <c r="A42" s="1">
        <v>46213.93273083333</v>
      </c>
      <c r="B42" s="1">
        <v>46213.933372881947</v>
      </c>
      <c r="C42" t="s">
        <v>306</v>
      </c>
      <c r="D42" s="1">
        <v>46213</v>
      </c>
      <c r="E42" t="s">
        <v>78</v>
      </c>
      <c r="F42" t="s">
        <v>128</v>
      </c>
      <c r="G42" t="s">
        <v>46</v>
      </c>
      <c r="H42" t="s">
        <v>289</v>
      </c>
      <c r="I42" t="s">
        <v>48</v>
      </c>
      <c r="J42" s="4">
        <v>35</v>
      </c>
      <c r="K42" t="s">
        <v>62</v>
      </c>
      <c r="M42" s="2">
        <v>46028</v>
      </c>
      <c r="N42" s="2">
        <f>SUM(Table1[[#This Row],[عدد الاناث تحت سنتين ]:[ذكورمن 60 فما فوق ]])</f>
        <v>9</v>
      </c>
      <c r="O42">
        <v>9</v>
      </c>
      <c r="P42">
        <v>2</v>
      </c>
      <c r="Q42">
        <v>0</v>
      </c>
      <c r="R42">
        <v>4</v>
      </c>
      <c r="S42">
        <v>2</v>
      </c>
      <c r="T42">
        <v>1</v>
      </c>
      <c r="U42">
        <v>0</v>
      </c>
      <c r="V42">
        <v>0</v>
      </c>
      <c r="W42">
        <v>0</v>
      </c>
      <c r="X42" s="1">
        <v>46207</v>
      </c>
      <c r="Y42" t="s">
        <v>103</v>
      </c>
      <c r="Z42" t="s">
        <v>53</v>
      </c>
      <c r="AB42" t="s">
        <v>54</v>
      </c>
      <c r="AL42">
        <v>808631083</v>
      </c>
      <c r="AM42" t="s">
        <v>291</v>
      </c>
      <c r="AN42" s="1">
        <v>46215.291400462957</v>
      </c>
      <c r="AQ42" t="s">
        <v>56</v>
      </c>
      <c r="AR42" t="s">
        <v>57</v>
      </c>
      <c r="AS42" t="s">
        <v>58</v>
      </c>
      <c r="AU42" t="s">
        <v>292</v>
      </c>
      <c r="AV42">
        <v>47</v>
      </c>
    </row>
    <row r="43" spans="1:48" x14ac:dyDescent="0.35">
      <c r="A43" s="1">
        <v>46213.933531006936</v>
      </c>
      <c r="B43" s="1">
        <v>46213.934168252323</v>
      </c>
      <c r="C43" t="s">
        <v>306</v>
      </c>
      <c r="D43" s="1">
        <v>46213</v>
      </c>
      <c r="E43" t="s">
        <v>78</v>
      </c>
      <c r="F43" t="s">
        <v>128</v>
      </c>
      <c r="G43" t="s">
        <v>46</v>
      </c>
      <c r="H43" t="s">
        <v>293</v>
      </c>
      <c r="I43" t="s">
        <v>157</v>
      </c>
      <c r="J43" s="4">
        <v>35</v>
      </c>
      <c r="K43" t="s">
        <v>50</v>
      </c>
      <c r="M43" s="2">
        <v>25690</v>
      </c>
      <c r="N43" s="2">
        <f>SUM(Table1[[#This Row],[عدد الاناث تحت سنتين ]:[ذكورمن 60 فما فوق ]])</f>
        <v>6</v>
      </c>
      <c r="O43">
        <v>6</v>
      </c>
      <c r="P43">
        <v>2</v>
      </c>
      <c r="Q43">
        <v>0</v>
      </c>
      <c r="R43">
        <v>2</v>
      </c>
      <c r="S43">
        <v>2</v>
      </c>
      <c r="T43">
        <v>0</v>
      </c>
      <c r="U43">
        <v>0</v>
      </c>
      <c r="V43">
        <v>0</v>
      </c>
      <c r="W43">
        <v>0</v>
      </c>
      <c r="X43" s="1">
        <v>46114</v>
      </c>
      <c r="Y43" t="s">
        <v>52</v>
      </c>
      <c r="Z43" t="s">
        <v>309</v>
      </c>
      <c r="AB43" t="s">
        <v>54</v>
      </c>
      <c r="AL43">
        <v>808631089</v>
      </c>
      <c r="AM43" t="s">
        <v>295</v>
      </c>
      <c r="AN43" s="1">
        <v>46215.291412037041</v>
      </c>
      <c r="AQ43" t="s">
        <v>56</v>
      </c>
      <c r="AR43" t="s">
        <v>57</v>
      </c>
      <c r="AS43" t="s">
        <v>58</v>
      </c>
      <c r="AU43" t="s">
        <v>296</v>
      </c>
      <c r="AV43">
        <v>48</v>
      </c>
    </row>
  </sheetData>
  <mergeCells count="4">
    <mergeCell ref="A1:G1"/>
    <mergeCell ref="H1:M1"/>
    <mergeCell ref="O1:W1"/>
    <mergeCell ref="X1:AB1"/>
  </mergeCells>
  <conditionalFormatting sqref="H1:H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Sheet1</vt:lpstr>
      <vt:lpstr>data_cleaning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2026-07-12T07:01:20Z</dcterms:created>
  <dcterms:modified xsi:type="dcterms:W3CDTF">2026-07-15T12:44:37Z</dcterms:modified>
</cp:coreProperties>
</file>